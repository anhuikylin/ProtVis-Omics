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wn/GeekSpace/02.MaizeTeosintePro/03.progress/04.RNAseq/"/>
    </mc:Choice>
  </mc:AlternateContent>
  <xr:revisionPtr revIDLastSave="0" documentId="13_ncr:1_{B8F8227D-0CA0-1144-B3CD-249E1CDB6CDA}" xr6:coauthVersionLast="47" xr6:coauthVersionMax="47" xr10:uidLastSave="{00000000-0000-0000-0000-000000000000}"/>
  <bookViews>
    <workbookView xWindow="0" yWindow="480" windowWidth="38400" windowHeight="21120" activeTab="1" xr2:uid="{00000000-000D-0000-FFFF-FFFF00000000}"/>
  </bookViews>
  <sheets>
    <sheet name="转录组数据" sheetId="1" r:id="rId1"/>
    <sheet name="候选基因" sheetId="2" r:id="rId2"/>
  </sheets>
  <definedNames>
    <definedName name="_xlnm._FilterDatabase" localSheetId="0" hidden="1">转录组数据!$T$1:$T$125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2" l="1"/>
  <c r="J10" i="2"/>
  <c r="J9" i="2"/>
  <c r="J12" i="2"/>
  <c r="J3" i="2"/>
  <c r="J2" i="2"/>
  <c r="J8" i="2"/>
  <c r="J7" i="2"/>
  <c r="J6" i="2"/>
  <c r="J5" i="2"/>
  <c r="J4" i="2"/>
  <c r="T3" i="1"/>
  <c r="T4" i="1"/>
  <c r="T5" i="1"/>
  <c r="T6" i="1"/>
  <c r="T7" i="1"/>
  <c r="T8" i="1"/>
  <c r="T9" i="1"/>
  <c r="T10" i="1"/>
  <c r="T11" i="1"/>
  <c r="T12" i="1"/>
  <c r="T14" i="1"/>
  <c r="T15" i="1"/>
  <c r="T16" i="1"/>
  <c r="T17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7" i="1"/>
  <c r="T68" i="1"/>
  <c r="T70" i="1"/>
  <c r="T71" i="1"/>
  <c r="T72" i="1"/>
  <c r="T73" i="1"/>
  <c r="T74" i="1"/>
  <c r="T75" i="1"/>
  <c r="T76" i="1"/>
  <c r="T77" i="1"/>
  <c r="T78" i="1"/>
  <c r="T79" i="1"/>
  <c r="T80" i="1"/>
  <c r="T81" i="1"/>
  <c r="T85" i="1"/>
  <c r="T86" i="1"/>
  <c r="T87" i="1"/>
  <c r="T88" i="1"/>
  <c r="T89" i="1"/>
  <c r="T90" i="1"/>
  <c r="T92" i="1"/>
  <c r="T95" i="1"/>
  <c r="T96" i="1"/>
  <c r="T97" i="1"/>
  <c r="T98" i="1"/>
  <c r="T99" i="1"/>
  <c r="T100" i="1"/>
  <c r="T101" i="1"/>
  <c r="T104" i="1"/>
  <c r="T105" i="1"/>
  <c r="T108" i="1"/>
  <c r="T109" i="1"/>
  <c r="T110" i="1"/>
  <c r="T111" i="1"/>
  <c r="T112" i="1"/>
  <c r="T115" i="1"/>
  <c r="T116" i="1"/>
  <c r="T117" i="1"/>
  <c r="T118" i="1"/>
  <c r="T120" i="1"/>
  <c r="T121" i="1"/>
  <c r="T122" i="1"/>
  <c r="T123" i="1"/>
  <c r="T2" i="1"/>
</calcChain>
</file>

<file path=xl/sharedStrings.xml><?xml version="1.0" encoding="utf-8"?>
<sst xmlns="http://schemas.openxmlformats.org/spreadsheetml/2006/main" count="533" uniqueCount="168">
  <si>
    <t>GeneID</t>
  </si>
  <si>
    <t>GeneName</t>
  </si>
  <si>
    <t>Description</t>
  </si>
  <si>
    <t>B73_1</t>
  </si>
  <si>
    <t>B73_2</t>
  </si>
  <si>
    <t>B73_3</t>
  </si>
  <si>
    <t>Y12_1</t>
  </si>
  <si>
    <t>Y12_2</t>
  </si>
  <si>
    <t>Y12_3</t>
  </si>
  <si>
    <t>Zm00001d032103</t>
  </si>
  <si>
    <t>4CL</t>
  </si>
  <si>
    <t>4-coumarate--CoA ligase</t>
  </si>
  <si>
    <t>Zm00001d029015</t>
  </si>
  <si>
    <t>PAL</t>
  </si>
  <si>
    <t>phenylalanine ammonia-lyase</t>
  </si>
  <si>
    <t>Zm00001d027519</t>
  </si>
  <si>
    <t>Zm00001d030542</t>
  </si>
  <si>
    <t>HCT</t>
  </si>
  <si>
    <t>shikimate O-hydroxycinnamoyltransferase</t>
  </si>
  <si>
    <t>Zm00001d027391</t>
  </si>
  <si>
    <t>C3'H</t>
  </si>
  <si>
    <t>5-O-(4-coumaroyl)-D-quinate 3'-monooxygenase</t>
  </si>
  <si>
    <t>Zm00001d030172</t>
  </si>
  <si>
    <t>SCPL19</t>
  </si>
  <si>
    <t>serine carboxypeptidase-like 19</t>
  </si>
  <si>
    <t>Zm00001d032468</t>
  </si>
  <si>
    <t>F5H</t>
  </si>
  <si>
    <t>ferulate-5-hydroxylase</t>
  </si>
  <si>
    <t>Zm00001d027946</t>
  </si>
  <si>
    <t>Zm00001d027948</t>
  </si>
  <si>
    <t>Zm00001d027711</t>
  </si>
  <si>
    <t>Zm00001d032152</t>
  </si>
  <si>
    <t>CCR</t>
  </si>
  <si>
    <t>cinnamoyl-CoA reductase</t>
  </si>
  <si>
    <t>Zm00001d032148</t>
  </si>
  <si>
    <t>Zm00001d030090</t>
  </si>
  <si>
    <t>Zm00001d032467</t>
  </si>
  <si>
    <t>Zm00001d034716</t>
  </si>
  <si>
    <t>Zm00001d033055</t>
  </si>
  <si>
    <t>Zm00001d030132</t>
  </si>
  <si>
    <t>Zm00001d007643</t>
  </si>
  <si>
    <t>Zm00001d006261</t>
  </si>
  <si>
    <t>Zm00001d002346</t>
  </si>
  <si>
    <t>CAD</t>
  </si>
  <si>
    <t>cinnamyl-alcohol dehydrogenase</t>
  </si>
  <si>
    <t>Zm00001d007606</t>
  </si>
  <si>
    <t>Zm00001d004443</t>
  </si>
  <si>
    <t>Zm00001d005627</t>
  </si>
  <si>
    <t>Zm00001d007644</t>
  </si>
  <si>
    <t>Zm00001d003015</t>
  </si>
  <si>
    <t>Zm00001d003530</t>
  </si>
  <si>
    <t>Zm00001d005436</t>
  </si>
  <si>
    <t>Zm00001d003129</t>
  </si>
  <si>
    <t>Zm00001d006263</t>
  </si>
  <si>
    <t>Zm00001d005184</t>
  </si>
  <si>
    <t>Zm00001d005434</t>
  </si>
  <si>
    <t>Zm00001d003016</t>
  </si>
  <si>
    <t>Zm00001d005607</t>
  </si>
  <si>
    <t>Zm00001d005998</t>
  </si>
  <si>
    <t>CCOMT</t>
  </si>
  <si>
    <t>caffeoyl-CoA O-methyltransferase</t>
  </si>
  <si>
    <t>Zm00001d039840</t>
  </si>
  <si>
    <t>Zm00001d039952</t>
  </si>
  <si>
    <t>Zm00001d039951</t>
  </si>
  <si>
    <t>Zm00001d039956</t>
  </si>
  <si>
    <t>Zm00001d039837</t>
  </si>
  <si>
    <t>Zm00001d039274</t>
  </si>
  <si>
    <t>Zm00001d043174</t>
  </si>
  <si>
    <t>Zm00001d039947</t>
  </si>
  <si>
    <t>Zm00001d039833</t>
  </si>
  <si>
    <t>Zm00001d051163</t>
  </si>
  <si>
    <t>Zm00001d051529</t>
  </si>
  <si>
    <t>Zm00001d050455</t>
  </si>
  <si>
    <t>Zm00001d048870</t>
  </si>
  <si>
    <t>Zm00001d050295</t>
  </si>
  <si>
    <t>Zm00001d051938</t>
  </si>
  <si>
    <t>Zm00001d051166</t>
  </si>
  <si>
    <t>Zm00001d050224</t>
  </si>
  <si>
    <t>Zm00001d050417</t>
  </si>
  <si>
    <t>Zm00001d049541</t>
  </si>
  <si>
    <t>COMT</t>
  </si>
  <si>
    <t>caffeic acid 3-O-methyltransferase</t>
  </si>
  <si>
    <t>Zm00001d051164</t>
  </si>
  <si>
    <t>Zm00001d052096</t>
  </si>
  <si>
    <t>Zm00001d051557</t>
  </si>
  <si>
    <t>Zm00001d051161</t>
  </si>
  <si>
    <t>Zm00001d049539</t>
  </si>
  <si>
    <t>Zm00001d049169</t>
  </si>
  <si>
    <t>Zm00001d017186</t>
  </si>
  <si>
    <t>Zm00001d015459</t>
  </si>
  <si>
    <t>Zm00001d017275</t>
  </si>
  <si>
    <t>Zm00001d014447</t>
  </si>
  <si>
    <t>Zm00001d014443</t>
  </si>
  <si>
    <t>Zm00001d015618</t>
  </si>
  <si>
    <t>Zm00001d017274</t>
  </si>
  <si>
    <t>Zm00001d017276</t>
  </si>
  <si>
    <t>Zm00001d017279</t>
  </si>
  <si>
    <t>Zm00001d016199</t>
  </si>
  <si>
    <t>Zm00001d016471</t>
  </si>
  <si>
    <t>C4H</t>
  </si>
  <si>
    <t>trans-cinnamate 4-monooxygenase</t>
  </si>
  <si>
    <t>Zm00001d013862</t>
  </si>
  <si>
    <t>Zm00001d018367</t>
  </si>
  <si>
    <t>Zm00001d015513</t>
  </si>
  <si>
    <t>Zm00001d038555</t>
  </si>
  <si>
    <t>Zm00001d037849</t>
  </si>
  <si>
    <t>Zm00001d037009</t>
  </si>
  <si>
    <t>Zm00001d036293</t>
  </si>
  <si>
    <t>Zm00001d037005</t>
  </si>
  <si>
    <t>Zm00001d037008</t>
  </si>
  <si>
    <t>Zm00001d037073</t>
  </si>
  <si>
    <t>Zm00001d021329</t>
  </si>
  <si>
    <t>Zm00001d020402</t>
  </si>
  <si>
    <t>Zm00001d019669</t>
  </si>
  <si>
    <t>Zm00001d021324</t>
  </si>
  <si>
    <t>Zm00001d020530</t>
  </si>
  <si>
    <t>Zm00001d020401</t>
  </si>
  <si>
    <t>Zm00001d020400</t>
  </si>
  <si>
    <t>Zm00001d022592</t>
  </si>
  <si>
    <t>Zm00001d019534</t>
  </si>
  <si>
    <t>Zm00001d020528</t>
  </si>
  <si>
    <t>Zm00001d009858</t>
  </si>
  <si>
    <t>Zm00001d012510</t>
  </si>
  <si>
    <t>Zm00001d046706</t>
  </si>
  <si>
    <t>Zm00001d046697</t>
  </si>
  <si>
    <t>Zm00001d046915</t>
  </si>
  <si>
    <t>Zm00001d045101</t>
  </si>
  <si>
    <t>Zm00001d046318</t>
  </si>
  <si>
    <t>Zm00001d046322</t>
  </si>
  <si>
    <t>Zm00001d048087</t>
  </si>
  <si>
    <t>Zm00001d045092</t>
  </si>
  <si>
    <t>Zm00001d046705</t>
  </si>
  <si>
    <t>Zm00001d045206</t>
  </si>
  <si>
    <t>Zm00001d046700</t>
  </si>
  <si>
    <t>Zm00001d045091</t>
  </si>
  <si>
    <t>Zm00001d045043</t>
  </si>
  <si>
    <t>Zm00001d024231</t>
  </si>
  <si>
    <t>Zm00001d024314</t>
  </si>
  <si>
    <t>Zm00001d024541</t>
  </si>
  <si>
    <t>Zm00001d025526</t>
  </si>
  <si>
    <t>PZ00001a000423</t>
  </si>
  <si>
    <t>PZ00001a001186</t>
  </si>
  <si>
    <t>PZ00001a004075</t>
  </si>
  <si>
    <t>PZ00001a007460</t>
  </si>
  <si>
    <t>PZ00001a013786</t>
  </si>
  <si>
    <t>PZ00001a014840</t>
  </si>
  <si>
    <t>PZ00001a015892</t>
  </si>
  <si>
    <t>PZ00001a028181</t>
  </si>
  <si>
    <t>PZ00001a034910</t>
  </si>
  <si>
    <t>PZ00001a035134</t>
  </si>
  <si>
    <t>PZ00001a037185</t>
  </si>
  <si>
    <t>PZ00001a042228</t>
  </si>
  <si>
    <t>PZ00001a045289</t>
  </si>
  <si>
    <t>B73_av</t>
  </si>
  <si>
    <t>Y12_av</t>
  </si>
  <si>
    <t>Mean</t>
  </si>
  <si>
    <t>sd</t>
  </si>
  <si>
    <t>log2FC</t>
  </si>
  <si>
    <t>MaizeGDB_annotation</t>
  </si>
  <si>
    <t>bm5 - brown midrib5 bm5 encodes 4-coumarate-CoA ligase (Xiong et al., 2019)</t>
  </si>
  <si>
    <t>pal3 - phenylalanine ammonia lyase3</t>
  </si>
  <si>
    <t xml:space="preserve">umc1743 cinnamoyl-CoA reductase 2 </t>
  </si>
  <si>
    <t>cncr1 - cinnamoyl CoA reductase1</t>
  </si>
  <si>
    <t>putative cinnamyl-alcohol dehydrogenase family protein</t>
  </si>
  <si>
    <t>putative cinnamyl alcohol dehydrogenase 6</t>
  </si>
  <si>
    <t>hct8 - hydroxycinnamoyltransferase8</t>
  </si>
  <si>
    <t>hct1 - hydroxycinnamoyltransferase1</t>
  </si>
  <si>
    <t>hct9 - hydroxycinnamoyltransferase9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</si>
</sst>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7E79"/>
      <name val="Calibri"/>
      <family val="2"/>
      <scheme val="minor"/>
    </font>
    <font>
      <b/>
      <sz val="11"/>
      <color rgb="FF7A81FF"/>
      <name val="Calibri"/>
      <family val="2"/>
      <scheme val="minor"/>
    </font>
    <font>
      <b/>
      <sz val="11"/>
      <color rgb="FF0432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center"/>
    </xf>
    <xf numFmtId="164" fontId="0" fillId="0" borderId="4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/>
    <xf numFmtId="2" fontId="3" fillId="0" borderId="0" xfId="0" applyNumberFormat="1" applyFont="1"/>
    <xf numFmtId="0" fontId="1" fillId="0" borderId="0" xfId="0" applyFont="1"/>
    <xf numFmtId="164" fontId="2" fillId="0" borderId="6" xfId="0" applyNumberFormat="1" applyFont="1" applyBorder="1"/>
    <xf numFmtId="164" fontId="2" fillId="0" borderId="7" xfId="0" applyNumberFormat="1" applyFont="1" applyBorder="1"/>
    <xf numFmtId="164" fontId="2" fillId="0" borderId="8" xfId="0" applyNumberFormat="1" applyFont="1" applyBorder="1"/>
    <xf numFmtId="164" fontId="2" fillId="0" borderId="4" xfId="0" applyNumberFormat="1" applyFont="1" applyBorder="1"/>
    <xf numFmtId="164" fontId="2" fillId="0" borderId="0" xfId="0" applyNumberFormat="1" applyFont="1" applyBorder="1"/>
    <xf numFmtId="164" fontId="2" fillId="0" borderId="5" xfId="0" applyNumberFormat="1" applyFont="1" applyBorder="1"/>
    <xf numFmtId="164" fontId="3" fillId="0" borderId="1" xfId="0" applyNumberFormat="1" applyFont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164" fontId="3" fillId="0" borderId="0" xfId="0" applyNumberFormat="1" applyFont="1" applyBorder="1"/>
    <xf numFmtId="164" fontId="3" fillId="0" borderId="5" xfId="0" applyNumberFormat="1" applyFont="1" applyBorder="1"/>
    <xf numFmtId="164" fontId="0" fillId="0" borderId="4" xfId="0" applyNumberFormat="1" applyFont="1" applyBorder="1"/>
    <xf numFmtId="164" fontId="0" fillId="0" borderId="0" xfId="0" applyNumberFormat="1" applyFont="1" applyBorder="1"/>
    <xf numFmtId="164" fontId="0" fillId="0" borderId="5" xfId="0" applyNumberFormat="1" applyFont="1" applyBorder="1"/>
    <xf numFmtId="0" fontId="0" fillId="0" borderId="0" xfId="0" applyFont="1"/>
    <xf numFmtId="0" fontId="4" fillId="0" borderId="0" xfId="0" applyFont="1"/>
    <xf numFmtId="2" fontId="4" fillId="0" borderId="0" xfId="0" applyNumberFormat="1" applyFont="1"/>
    <xf numFmtId="164" fontId="4" fillId="0" borderId="4" xfId="0" applyNumberFormat="1" applyFont="1" applyBorder="1"/>
    <xf numFmtId="164" fontId="4" fillId="0" borderId="0" xfId="0" applyNumberFormat="1" applyFont="1" applyBorder="1"/>
    <xf numFmtId="164" fontId="4" fillId="0" borderId="5" xfId="0" applyNumberFormat="1" applyFont="1" applyBorder="1"/>
    <xf numFmtId="164" fontId="4" fillId="0" borderId="6" xfId="0" applyNumberFormat="1" applyFont="1" applyBorder="1"/>
    <xf numFmtId="164" fontId="4" fillId="0" borderId="7" xfId="0" applyNumberFormat="1" applyFont="1" applyBorder="1"/>
    <xf numFmtId="164" fontId="4" fillId="0" borderId="8" xfId="0" applyNumberFormat="1" applyFont="1" applyBorder="1"/>
    <xf numFmtId="0" fontId="5" fillId="0" borderId="0" xfId="0" applyFont="1"/>
    <xf numFmtId="2" fontId="5" fillId="0" borderId="0" xfId="0" applyNumberFormat="1" applyFont="1"/>
    <xf numFmtId="164" fontId="5" fillId="0" borderId="4" xfId="0" applyNumberFormat="1" applyFont="1" applyBorder="1"/>
    <xf numFmtId="164" fontId="5" fillId="0" borderId="0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164" fontId="5" fillId="0" borderId="7" xfId="0" applyNumberFormat="1" applyFont="1" applyBorder="1"/>
    <xf numFmtId="164" fontId="5" fillId="0" borderId="8" xfId="0" applyNumberFormat="1" applyFont="1" applyBorder="1"/>
    <xf numFmtId="0" fontId="6" fillId="0" borderId="0" xfId="0" applyFont="1"/>
    <xf numFmtId="2" fontId="6" fillId="0" borderId="0" xfId="0" applyNumberFormat="1" applyFont="1"/>
    <xf numFmtId="164" fontId="6" fillId="0" borderId="4" xfId="0" applyNumberFormat="1" applyFont="1" applyBorder="1"/>
    <xf numFmtId="164" fontId="6" fillId="0" borderId="0" xfId="0" applyNumberFormat="1" applyFont="1" applyBorder="1"/>
    <xf numFmtId="164" fontId="6" fillId="0" borderId="5" xfId="0" applyNumberFormat="1" applyFont="1" applyBorder="1"/>
    <xf numFmtId="0" fontId="3" fillId="4" borderId="0" xfId="0" applyFont="1" applyFill="1"/>
    <xf numFmtId="2" fontId="3" fillId="4" borderId="0" xfId="0" applyNumberFormat="1" applyFont="1" applyFill="1"/>
    <xf numFmtId="0" fontId="4" fillId="4" borderId="0" xfId="0" applyFont="1" applyFill="1"/>
    <xf numFmtId="2" fontId="4" fillId="4" borderId="0" xfId="0" applyNumberFormat="1" applyFont="1" applyFill="1"/>
    <xf numFmtId="2" fontId="0" fillId="0" borderId="0" xfId="0" applyNumberFormat="1" applyFont="1"/>
    <xf numFmtId="164" fontId="0" fillId="0" borderId="6" xfId="0" applyNumberFormat="1" applyFont="1" applyBorder="1"/>
    <xf numFmtId="164" fontId="0" fillId="0" borderId="7" xfId="0" applyNumberFormat="1" applyFont="1" applyBorder="1"/>
    <xf numFmtId="164" fontId="0" fillId="0" borderId="8" xfId="0" applyNumberFormat="1" applyFont="1" applyBorder="1"/>
    <xf numFmtId="0" fontId="2" fillId="4" borderId="0" xfId="0" applyFont="1" applyFill="1"/>
    <xf numFmtId="2" fontId="2" fillId="4" borderId="0" xfId="0" applyNumberFormat="1" applyFont="1" applyFill="1"/>
    <xf numFmtId="0" fontId="0" fillId="0" borderId="0" xfId="0" applyFont="1" applyFill="1"/>
    <xf numFmtId="0" fontId="7" fillId="0" borderId="0" xfId="0" applyFont="1" applyFill="1"/>
    <xf numFmtId="0" fontId="0" fillId="0" borderId="0" xfId="0" applyAlignment="1">
      <alignment horizontal="center" vertical="center"/>
    </xf>
    <xf numFmtId="2" fontId="7" fillId="0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2" fontId="0" fillId="0" borderId="0" xfId="0" applyNumberFormat="1" applyFont="1" applyFill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432FF"/>
      <color rgb="FF7A81FF"/>
      <color rgb="FFFF7E79"/>
      <color rgb="FF00FDFF"/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3"/>
  <sheetViews>
    <sheetView workbookViewId="0">
      <pane ySplit="1" topLeftCell="A2" activePane="bottomLeft" state="frozen"/>
      <selection pane="bottomLeft" activeCell="W1" sqref="W1:AP23"/>
    </sheetView>
  </sheetViews>
  <sheetFormatPr baseColWidth="10" defaultColWidth="8.83203125" defaultRowHeight="15" x14ac:dyDescent="0.2"/>
  <cols>
    <col min="1" max="1" width="15.5" bestFit="1" customWidth="1"/>
    <col min="2" max="2" width="9.83203125" bestFit="1" customWidth="1"/>
    <col min="3" max="3" width="38.1640625" bestFit="1" customWidth="1"/>
    <col min="12" max="17" width="6" bestFit="1" customWidth="1"/>
    <col min="23" max="23" width="15.5" bestFit="1" customWidth="1"/>
  </cols>
  <sheetData>
    <row r="1" spans="1:42" s="1" customFormat="1" ht="16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155</v>
      </c>
      <c r="K1" s="1" t="s">
        <v>156</v>
      </c>
      <c r="L1" s="11" t="s">
        <v>3</v>
      </c>
      <c r="M1" s="11" t="s">
        <v>4</v>
      </c>
      <c r="N1" s="11" t="s">
        <v>5</v>
      </c>
      <c r="O1" s="12" t="s">
        <v>6</v>
      </c>
      <c r="P1" s="12" t="s">
        <v>7</v>
      </c>
      <c r="Q1" s="12" t="s">
        <v>8</v>
      </c>
      <c r="R1" s="11" t="s">
        <v>153</v>
      </c>
      <c r="S1" s="12" t="s">
        <v>154</v>
      </c>
      <c r="T1" s="1" t="s">
        <v>157</v>
      </c>
      <c r="W1" s="1" t="s">
        <v>0</v>
      </c>
      <c r="X1" s="1" t="s">
        <v>1</v>
      </c>
      <c r="Y1" s="1" t="s">
        <v>2</v>
      </c>
      <c r="Z1" s="1" t="s">
        <v>3</v>
      </c>
      <c r="AA1" s="1" t="s">
        <v>4</v>
      </c>
      <c r="AB1" s="1" t="s">
        <v>5</v>
      </c>
      <c r="AC1" s="1" t="s">
        <v>6</v>
      </c>
      <c r="AD1" s="1" t="s">
        <v>7</v>
      </c>
      <c r="AE1" s="1" t="s">
        <v>8</v>
      </c>
      <c r="AF1" s="1" t="s">
        <v>155</v>
      </c>
      <c r="AG1" s="1" t="s">
        <v>156</v>
      </c>
      <c r="AH1" s="11" t="s">
        <v>3</v>
      </c>
      <c r="AI1" s="11" t="s">
        <v>4</v>
      </c>
      <c r="AJ1" s="11" t="s">
        <v>5</v>
      </c>
      <c r="AK1" s="12" t="s">
        <v>6</v>
      </c>
      <c r="AL1" s="12" t="s">
        <v>7</v>
      </c>
      <c r="AM1" s="12" t="s">
        <v>8</v>
      </c>
      <c r="AN1" s="11" t="s">
        <v>153</v>
      </c>
      <c r="AO1" s="12" t="s">
        <v>154</v>
      </c>
      <c r="AP1" s="1" t="s">
        <v>157</v>
      </c>
    </row>
    <row r="2" spans="1:42" x14ac:dyDescent="0.2">
      <c r="A2" s="13" t="s">
        <v>30</v>
      </c>
      <c r="B2" s="13" t="s">
        <v>10</v>
      </c>
      <c r="C2" s="13" t="s">
        <v>11</v>
      </c>
      <c r="D2" s="14">
        <v>9.2099399999999996</v>
      </c>
      <c r="E2" s="14">
        <v>8.5282199999999992</v>
      </c>
      <c r="F2" s="14">
        <v>7.1833200000000001</v>
      </c>
      <c r="G2" s="14">
        <v>20.012799999999999</v>
      </c>
      <c r="H2" s="14">
        <v>21.973400000000002</v>
      </c>
      <c r="I2" s="14">
        <v>24.613</v>
      </c>
      <c r="J2" s="13">
        <v>15.253446666666667</v>
      </c>
      <c r="K2" s="13">
        <v>7.7754748603198909</v>
      </c>
      <c r="L2" s="22">
        <v>-0.77725242190777677</v>
      </c>
      <c r="M2" s="23">
        <v>-0.86492809603013565</v>
      </c>
      <c r="N2" s="23">
        <v>-1.0378950239875966</v>
      </c>
      <c r="O2" s="23">
        <v>0.61209809289223616</v>
      </c>
      <c r="P2" s="23">
        <v>0.86424989522207374</v>
      </c>
      <c r="Q2" s="24">
        <v>1.2037275538111984</v>
      </c>
      <c r="R2" s="23">
        <v>-0.89335851397516963</v>
      </c>
      <c r="S2" s="24">
        <v>0.89335851397516952</v>
      </c>
      <c r="T2" s="15">
        <f>LOG(AVERAGE(D2:F2)/AVERAGE(G2:I2),2)</f>
        <v>-1.4181150999766485</v>
      </c>
      <c r="W2" t="s">
        <v>77</v>
      </c>
      <c r="X2" t="s">
        <v>10</v>
      </c>
      <c r="Y2" t="s">
        <v>11</v>
      </c>
      <c r="Z2">
        <v>1.02311</v>
      </c>
      <c r="AA2">
        <v>0.89571599999999996</v>
      </c>
      <c r="AB2">
        <v>0.82982299999999998</v>
      </c>
      <c r="AC2">
        <v>0.81059800000000004</v>
      </c>
      <c r="AD2">
        <v>0.63950099999999999</v>
      </c>
      <c r="AE2">
        <v>0.90136300000000003</v>
      </c>
      <c r="AF2">
        <v>0.85001850000000001</v>
      </c>
      <c r="AG2">
        <v>0.12725143488817706</v>
      </c>
      <c r="AH2">
        <v>1.3602322060423533</v>
      </c>
      <c r="AI2">
        <v>0.35911186416213609</v>
      </c>
      <c r="AJ2">
        <v>-0.15870547957079578</v>
      </c>
      <c r="AK2">
        <v>-0.30978432608356021</v>
      </c>
      <c r="AL2">
        <v>-1.6543428385306107</v>
      </c>
      <c r="AM2">
        <v>0.40348857398047649</v>
      </c>
      <c r="AN2">
        <v>0.52021286354456453</v>
      </c>
      <c r="AO2">
        <v>-0.52021286354456475</v>
      </c>
      <c r="AP2">
        <v>0.22516466955356884</v>
      </c>
    </row>
    <row r="3" spans="1:42" x14ac:dyDescent="0.2">
      <c r="A3" t="s">
        <v>38</v>
      </c>
      <c r="B3" t="s">
        <v>10</v>
      </c>
      <c r="C3" t="s">
        <v>11</v>
      </c>
      <c r="D3" s="8">
        <v>2.4114900000000001</v>
      </c>
      <c r="E3" s="8">
        <v>2.3114499999999998</v>
      </c>
      <c r="F3" s="8">
        <v>2.0628500000000001</v>
      </c>
      <c r="G3" s="8">
        <v>3.5183800000000001</v>
      </c>
      <c r="H3" s="8">
        <v>3.6863700000000001</v>
      </c>
      <c r="I3" s="8">
        <v>3.9369999999999998</v>
      </c>
      <c r="J3">
        <v>2.9879233333333333</v>
      </c>
      <c r="K3">
        <v>0.81432312642259264</v>
      </c>
      <c r="L3" s="2">
        <v>-0.70786806198869179</v>
      </c>
      <c r="M3" s="3">
        <v>-0.83071855800676098</v>
      </c>
      <c r="N3" s="3">
        <v>-1.1360027774199142</v>
      </c>
      <c r="O3" s="3">
        <v>0.65140808292774255</v>
      </c>
      <c r="P3" s="3">
        <v>0.85770211357623694</v>
      </c>
      <c r="Q3" s="4">
        <v>1.1654792009113881</v>
      </c>
      <c r="R3" s="3">
        <v>-0.89152979913845565</v>
      </c>
      <c r="S3" s="4">
        <v>0.89152979913845576</v>
      </c>
      <c r="T3" s="31">
        <f t="shared" ref="T3:T66" si="0">LOG(AVERAGE(D3:F3)/AVERAGE(G3:I3),2)</f>
        <v>-0.71538716136036462</v>
      </c>
      <c r="W3" t="s">
        <v>66</v>
      </c>
      <c r="X3" t="s">
        <v>10</v>
      </c>
      <c r="Y3" t="s">
        <v>11</v>
      </c>
      <c r="Z3">
        <v>1.89428</v>
      </c>
      <c r="AA3">
        <v>2.1878500000000001</v>
      </c>
      <c r="AB3">
        <v>1.97377</v>
      </c>
      <c r="AC3">
        <v>1.7262999999999999</v>
      </c>
      <c r="AD3">
        <v>1.6138300000000001</v>
      </c>
      <c r="AE3">
        <v>1.3268599999999999</v>
      </c>
      <c r="AF3">
        <v>1.7871483333333333</v>
      </c>
      <c r="AG3">
        <v>0.30082346327483644</v>
      </c>
      <c r="AH3">
        <v>0.35612802771567609</v>
      </c>
      <c r="AI3">
        <v>1.3320160013601738</v>
      </c>
      <c r="AJ3">
        <v>0.62036938420646592</v>
      </c>
      <c r="AK3">
        <v>-0.20227256435027982</v>
      </c>
      <c r="AL3">
        <v>-0.57614632664137377</v>
      </c>
      <c r="AM3">
        <v>-1.5300945222906621</v>
      </c>
      <c r="AN3">
        <v>0.76950447109410536</v>
      </c>
      <c r="AO3">
        <v>-0.76950447109410514</v>
      </c>
      <c r="AP3">
        <v>0.37584900652344994</v>
      </c>
    </row>
    <row r="4" spans="1:42" x14ac:dyDescent="0.2">
      <c r="A4" s="13" t="s">
        <v>9</v>
      </c>
      <c r="B4" s="13" t="s">
        <v>10</v>
      </c>
      <c r="C4" s="13" t="s">
        <v>11</v>
      </c>
      <c r="D4" s="14">
        <v>0.206786</v>
      </c>
      <c r="E4" s="14">
        <v>0.26998100000000003</v>
      </c>
      <c r="F4" s="14">
        <v>0.17404500000000001</v>
      </c>
      <c r="G4" s="14">
        <v>1.8989</v>
      </c>
      <c r="H4" s="14">
        <v>1.9388300000000001</v>
      </c>
      <c r="I4" s="14">
        <v>2.5775899999999998</v>
      </c>
      <c r="J4" s="13">
        <v>1.1776886666666666</v>
      </c>
      <c r="K4" s="13">
        <v>1.080101056902671</v>
      </c>
      <c r="L4" s="25">
        <v>-0.89889983947507202</v>
      </c>
      <c r="M4" s="26">
        <v>-0.84039142528906996</v>
      </c>
      <c r="N4" s="26">
        <v>-0.92921274380079233</v>
      </c>
      <c r="O4" s="26">
        <v>0.66772579169721391</v>
      </c>
      <c r="P4" s="26">
        <v>0.70469455470769038</v>
      </c>
      <c r="Q4" s="27">
        <v>1.2960836621600305</v>
      </c>
      <c r="R4" s="26">
        <v>-0.8895013361883114</v>
      </c>
      <c r="S4" s="27">
        <v>0.88950133618831162</v>
      </c>
      <c r="T4" s="15">
        <f t="shared" si="0"/>
        <v>-3.3012084720942649</v>
      </c>
      <c r="W4" t="s">
        <v>122</v>
      </c>
      <c r="X4" t="s">
        <v>99</v>
      </c>
      <c r="Y4" t="s">
        <v>100</v>
      </c>
      <c r="Z4">
        <v>5.1326900000000002</v>
      </c>
      <c r="AA4">
        <v>4.7638499999999997</v>
      </c>
      <c r="AB4">
        <v>3.56521</v>
      </c>
      <c r="AC4">
        <v>15.072100000000001</v>
      </c>
      <c r="AD4">
        <v>12.3713</v>
      </c>
      <c r="AE4">
        <v>9.0373000000000001</v>
      </c>
      <c r="AF4">
        <v>8.3237416666666668</v>
      </c>
      <c r="AG4">
        <v>4.6461058359078153</v>
      </c>
      <c r="AH4">
        <v>-0.68682285323858927</v>
      </c>
      <c r="AI4">
        <v>-0.76620976628507864</v>
      </c>
      <c r="AJ4">
        <v>-1.0241978626250738</v>
      </c>
      <c r="AK4">
        <v>1.4524762396022246</v>
      </c>
      <c r="AL4">
        <v>0.87117221955028268</v>
      </c>
      <c r="AM4">
        <v>0.15358202299623447</v>
      </c>
      <c r="AN4">
        <v>-0.82574349404958058</v>
      </c>
      <c r="AO4">
        <v>0.82574349404958058</v>
      </c>
      <c r="AP4">
        <v>-1.4382674429822371</v>
      </c>
    </row>
    <row r="5" spans="1:42" x14ac:dyDescent="0.2">
      <c r="A5" t="s">
        <v>15</v>
      </c>
      <c r="B5" t="s">
        <v>10</v>
      </c>
      <c r="C5" t="s">
        <v>11</v>
      </c>
      <c r="D5" s="8">
        <v>8.2136700000000005</v>
      </c>
      <c r="E5" s="8">
        <v>8.4251199999999997</v>
      </c>
      <c r="F5" s="8">
        <v>7.4200100000000004</v>
      </c>
      <c r="G5" s="8">
        <v>10.8894</v>
      </c>
      <c r="H5" s="8">
        <v>11.8475</v>
      </c>
      <c r="I5" s="8">
        <v>11.258100000000001</v>
      </c>
      <c r="J5">
        <v>9.675633333333332</v>
      </c>
      <c r="K5">
        <v>1.8699407528974485</v>
      </c>
      <c r="L5" s="2">
        <v>-0.78182334443914259</v>
      </c>
      <c r="M5" s="3">
        <v>-0.66874489547098126</v>
      </c>
      <c r="N5" s="3">
        <v>-1.2062539039476374</v>
      </c>
      <c r="O5" s="3">
        <v>0.64909364897575106</v>
      </c>
      <c r="P5" s="3">
        <v>1.1614628235153384</v>
      </c>
      <c r="Q5" s="4">
        <v>0.84626567136667696</v>
      </c>
      <c r="R5" s="3">
        <v>-0.88560738128592043</v>
      </c>
      <c r="S5" s="4">
        <v>0.8856073812859222</v>
      </c>
      <c r="T5" s="31">
        <f t="shared" si="0"/>
        <v>-0.49875788387128434</v>
      </c>
      <c r="W5" t="s">
        <v>109</v>
      </c>
      <c r="X5" t="s">
        <v>43</v>
      </c>
      <c r="Y5" t="s">
        <v>44</v>
      </c>
      <c r="Z5">
        <v>3.5076799999999998E-2</v>
      </c>
      <c r="AA5">
        <v>3.5037499999999999E-2</v>
      </c>
      <c r="AB5">
        <v>1.7442200000000001E-2</v>
      </c>
      <c r="AC5">
        <v>0</v>
      </c>
      <c r="AD5">
        <v>0</v>
      </c>
      <c r="AE5">
        <v>0.106823</v>
      </c>
      <c r="AF5">
        <v>3.2396583333333333E-2</v>
      </c>
      <c r="AG5">
        <v>3.9689193250274903E-2</v>
      </c>
      <c r="AH5">
        <v>6.7530137228176121E-2</v>
      </c>
      <c r="AI5">
        <v>6.6539943253907649E-2</v>
      </c>
      <c r="AJ5">
        <v>-0.37678728411114154</v>
      </c>
      <c r="AK5">
        <v>-0.81625703825836626</v>
      </c>
      <c r="AL5">
        <v>-0.81625703825836626</v>
      </c>
      <c r="AM5">
        <v>1.8752312801457902</v>
      </c>
      <c r="AN5">
        <v>-8.0905734543019261E-2</v>
      </c>
      <c r="AO5">
        <v>8.0905734543019234E-2</v>
      </c>
      <c r="AP5">
        <v>-0.28693611610657305</v>
      </c>
    </row>
    <row r="6" spans="1:42" x14ac:dyDescent="0.2">
      <c r="A6" s="53" t="s">
        <v>89</v>
      </c>
      <c r="B6" s="53" t="s">
        <v>10</v>
      </c>
      <c r="C6" s="53" t="s">
        <v>11</v>
      </c>
      <c r="D6" s="54">
        <v>20.634399999999999</v>
      </c>
      <c r="E6" s="54">
        <v>25.458100000000002</v>
      </c>
      <c r="F6" s="54">
        <v>20.705200000000001</v>
      </c>
      <c r="G6" s="54">
        <v>44.44</v>
      </c>
      <c r="H6" s="54">
        <v>56.197899999999997</v>
      </c>
      <c r="I6" s="54">
        <v>56.804299999999998</v>
      </c>
      <c r="J6" s="53">
        <v>37.373316666666661</v>
      </c>
      <c r="K6" s="53">
        <v>17.215434336131839</v>
      </c>
      <c r="L6" s="25">
        <v>-0.97232032255700573</v>
      </c>
      <c r="M6" s="26">
        <v>-0.69212408086962651</v>
      </c>
      <c r="N6" s="26">
        <v>-0.96820773389861758</v>
      </c>
      <c r="O6" s="26">
        <v>0.41048533515658953</v>
      </c>
      <c r="P6" s="26">
        <v>1.0934712982421946</v>
      </c>
      <c r="Q6" s="27">
        <v>1.1286955039264674</v>
      </c>
      <c r="R6" s="26">
        <v>-0.87755071244174987</v>
      </c>
      <c r="S6" s="27">
        <v>0.87755071244175065</v>
      </c>
      <c r="T6" s="15">
        <f t="shared" si="0"/>
        <v>-1.2369519519343841</v>
      </c>
      <c r="W6" t="s">
        <v>131</v>
      </c>
      <c r="X6" t="s">
        <v>32</v>
      </c>
      <c r="Y6" t="s">
        <v>33</v>
      </c>
      <c r="Z6">
        <v>0.10592500000000001</v>
      </c>
      <c r="AA6">
        <v>5.3476799999999998E-2</v>
      </c>
      <c r="AB6">
        <v>0</v>
      </c>
      <c r="AC6">
        <v>4.2416200000000002</v>
      </c>
      <c r="AD6">
        <v>6.1083999999999996</v>
      </c>
      <c r="AE6">
        <v>5.0773400000000004</v>
      </c>
      <c r="AF6">
        <v>2.5977936333333336</v>
      </c>
      <c r="AG6">
        <v>2.8497775901090963</v>
      </c>
      <c r="AH6">
        <v>-0.87440810889313603</v>
      </c>
      <c r="AI6">
        <v>-0.89281242233220426</v>
      </c>
      <c r="AJ6">
        <v>-0.91157767621924624</v>
      </c>
      <c r="AK6">
        <v>0.57682619597122209</v>
      </c>
      <c r="AL6">
        <v>1.231887842353435</v>
      </c>
      <c r="AM6">
        <v>0.87008416911992903</v>
      </c>
      <c r="AN6">
        <v>-0.8929327358148621</v>
      </c>
      <c r="AO6">
        <v>0.89293273581486199</v>
      </c>
      <c r="AP6">
        <v>-6.5966794716200816</v>
      </c>
    </row>
    <row r="7" spans="1:42" x14ac:dyDescent="0.2">
      <c r="A7" t="s">
        <v>71</v>
      </c>
      <c r="B7" t="s">
        <v>10</v>
      </c>
      <c r="C7" t="s">
        <v>11</v>
      </c>
      <c r="D7" s="8">
        <v>15.905900000000001</v>
      </c>
      <c r="E7" s="8">
        <v>17.3523</v>
      </c>
      <c r="F7" s="8">
        <v>16.8428</v>
      </c>
      <c r="G7" s="8">
        <v>26.1279</v>
      </c>
      <c r="H7" s="8">
        <v>22.795300000000001</v>
      </c>
      <c r="I7" s="8">
        <v>26.443899999999999</v>
      </c>
      <c r="J7">
        <v>20.911349999999999</v>
      </c>
      <c r="K7">
        <v>4.8092668196930068</v>
      </c>
      <c r="L7" s="2">
        <v>-1.0407927419422145</v>
      </c>
      <c r="M7" s="3">
        <v>-0.74004003800046725</v>
      </c>
      <c r="N7" s="3">
        <v>-0.84598134238260225</v>
      </c>
      <c r="O7" s="3">
        <v>1.0846871665841558</v>
      </c>
      <c r="P7" s="3">
        <v>0.39173330793076305</v>
      </c>
      <c r="Q7" s="4">
        <v>1.1503936478103669</v>
      </c>
      <c r="R7" s="3">
        <v>-0.87560470744176133</v>
      </c>
      <c r="S7" s="4">
        <v>0.87560470744176178</v>
      </c>
      <c r="T7" s="31">
        <f t="shared" si="0"/>
        <v>-0.5890954818084273</v>
      </c>
      <c r="W7" t="s">
        <v>113</v>
      </c>
      <c r="X7" t="s">
        <v>32</v>
      </c>
      <c r="Y7" t="s">
        <v>33</v>
      </c>
      <c r="Z7">
        <v>8.8905100000000008</v>
      </c>
      <c r="AA7">
        <v>9.4637100000000007</v>
      </c>
      <c r="AB7">
        <v>7.5604300000000002</v>
      </c>
      <c r="AC7">
        <v>8.6770800000000001</v>
      </c>
      <c r="AD7">
        <v>11.7559</v>
      </c>
      <c r="AE7">
        <v>8.69529</v>
      </c>
      <c r="AF7">
        <v>9.1738199999999992</v>
      </c>
      <c r="AG7">
        <v>1.4078499050111948</v>
      </c>
      <c r="AH7">
        <v>-0.20123594070047232</v>
      </c>
      <c r="AI7">
        <v>0.20590973438869281</v>
      </c>
      <c r="AJ7">
        <v>-1.1459957444733213</v>
      </c>
      <c r="AK7">
        <v>-0.35283590831087153</v>
      </c>
      <c r="AL7">
        <v>1.834059149920154</v>
      </c>
      <c r="AM7">
        <v>-0.33990129082417642</v>
      </c>
      <c r="AN7">
        <v>-0.38044065026170032</v>
      </c>
      <c r="AO7">
        <v>0.38044065026170193</v>
      </c>
      <c r="AP7">
        <v>-0.16865210979928896</v>
      </c>
    </row>
    <row r="8" spans="1:42" x14ac:dyDescent="0.2">
      <c r="A8" s="13" t="s">
        <v>74</v>
      </c>
      <c r="B8" s="13" t="s">
        <v>10</v>
      </c>
      <c r="C8" s="13" t="s">
        <v>11</v>
      </c>
      <c r="D8" s="14">
        <v>0.12149500000000001</v>
      </c>
      <c r="E8" s="14">
        <v>0</v>
      </c>
      <c r="F8" s="14">
        <v>6.0014199999999997E-2</v>
      </c>
      <c r="G8" s="14">
        <v>1.96532</v>
      </c>
      <c r="H8" s="14">
        <v>1.0933200000000001</v>
      </c>
      <c r="I8" s="14">
        <v>2.0700599999999998</v>
      </c>
      <c r="J8" s="13">
        <v>0.88503486666666664</v>
      </c>
      <c r="K8" s="13">
        <v>0.96556948753909277</v>
      </c>
      <c r="L8" s="25">
        <v>-0.7907663575955256</v>
      </c>
      <c r="M8" s="26">
        <v>-0.91659365595977826</v>
      </c>
      <c r="N8" s="26">
        <v>-0.85443945496803431</v>
      </c>
      <c r="O8" s="26">
        <v>1.1188062042915332</v>
      </c>
      <c r="P8" s="26">
        <v>0.2157122154555455</v>
      </c>
      <c r="Q8" s="27">
        <v>1.2272810487762595</v>
      </c>
      <c r="R8" s="26">
        <v>-0.85393315617444598</v>
      </c>
      <c r="S8" s="27">
        <v>0.85393315617444598</v>
      </c>
      <c r="T8" s="15">
        <f t="shared" si="0"/>
        <v>-4.8204786044429797</v>
      </c>
      <c r="W8" t="s">
        <v>123</v>
      </c>
      <c r="X8" t="s">
        <v>32</v>
      </c>
      <c r="Y8" t="s">
        <v>33</v>
      </c>
      <c r="Z8">
        <v>1.1234</v>
      </c>
      <c r="AA8">
        <v>0.82732399999999995</v>
      </c>
      <c r="AB8">
        <v>0.47421600000000003</v>
      </c>
      <c r="AC8">
        <v>30.578499999999998</v>
      </c>
      <c r="AD8">
        <v>27.6111</v>
      </c>
      <c r="AE8">
        <v>27.7056</v>
      </c>
      <c r="AF8">
        <v>14.720023333333332</v>
      </c>
      <c r="AG8">
        <v>15.278184634257864</v>
      </c>
      <c r="AH8">
        <v>-0.88993710043574081</v>
      </c>
      <c r="AI8">
        <v>-0.9093161043611232</v>
      </c>
      <c r="AJ8">
        <v>-0.9324280125133676</v>
      </c>
      <c r="AK8">
        <v>1.0379817397354676</v>
      </c>
      <c r="AL8">
        <v>0.84375709387366304</v>
      </c>
      <c r="AM8">
        <v>0.84994238370110142</v>
      </c>
      <c r="AN8">
        <v>-0.91056040577007724</v>
      </c>
      <c r="AO8">
        <v>0.91056040577007735</v>
      </c>
      <c r="AP8">
        <v>-5.1465565564341427</v>
      </c>
    </row>
    <row r="9" spans="1:42" x14ac:dyDescent="0.2">
      <c r="A9" s="13" t="s">
        <v>142</v>
      </c>
      <c r="B9" s="13" t="s">
        <v>10</v>
      </c>
      <c r="C9" s="13" t="s">
        <v>11</v>
      </c>
      <c r="D9" s="14">
        <v>8.0406099999999994E-2</v>
      </c>
      <c r="E9" s="14">
        <v>8.1715700000000002E-2</v>
      </c>
      <c r="F9" s="14">
        <v>0</v>
      </c>
      <c r="G9" s="14">
        <v>0.278916</v>
      </c>
      <c r="H9" s="14">
        <v>0.496475</v>
      </c>
      <c r="I9" s="14">
        <v>0.194267</v>
      </c>
      <c r="J9" s="13">
        <v>0.18862996666666665</v>
      </c>
      <c r="K9" s="13">
        <v>0.17982004257907036</v>
      </c>
      <c r="L9" s="25">
        <v>-0.60184540674368114</v>
      </c>
      <c r="M9" s="26">
        <v>-0.59456257007421387</v>
      </c>
      <c r="N9" s="26">
        <v>-1.0489930041236777</v>
      </c>
      <c r="O9" s="26">
        <v>0.50209104635059143</v>
      </c>
      <c r="P9" s="26">
        <v>1.711961741961928</v>
      </c>
      <c r="Q9" s="27">
        <v>3.1348192629053757E-2</v>
      </c>
      <c r="R9" s="26">
        <v>-0.74846699364719083</v>
      </c>
      <c r="S9" s="27">
        <v>0.74846699364719116</v>
      </c>
      <c r="T9" s="15">
        <f t="shared" si="0"/>
        <v>-2.5803978975687976</v>
      </c>
      <c r="W9" t="s">
        <v>103</v>
      </c>
      <c r="X9" t="s">
        <v>32</v>
      </c>
      <c r="Y9" t="s">
        <v>33</v>
      </c>
      <c r="Z9">
        <v>16.475000000000001</v>
      </c>
      <c r="AA9">
        <v>18.508700000000001</v>
      </c>
      <c r="AB9">
        <v>19.3369</v>
      </c>
      <c r="AC9">
        <v>30.0977</v>
      </c>
      <c r="AD9">
        <v>29.308399999999999</v>
      </c>
      <c r="AE9">
        <v>42.551299999999998</v>
      </c>
      <c r="AF9">
        <v>26.046333333333333</v>
      </c>
      <c r="AG9">
        <v>9.9288610542532432</v>
      </c>
      <c r="AH9">
        <v>-0.96399106413451552</v>
      </c>
      <c r="AI9">
        <v>-0.75916394560727818</v>
      </c>
      <c r="AJ9">
        <v>-0.67575055151559416</v>
      </c>
      <c r="AK9">
        <v>0.40803941605479266</v>
      </c>
      <c r="AL9">
        <v>0.32854389328666139</v>
      </c>
      <c r="AM9">
        <v>1.662322251915934</v>
      </c>
      <c r="AN9">
        <v>-0.79963518708579606</v>
      </c>
      <c r="AO9">
        <v>0.79963518708579606</v>
      </c>
      <c r="AP9">
        <v>-0.90839516887763849</v>
      </c>
    </row>
    <row r="10" spans="1:42" x14ac:dyDescent="0.2">
      <c r="A10" t="s">
        <v>125</v>
      </c>
      <c r="B10" t="s">
        <v>10</v>
      </c>
      <c r="C10" t="s">
        <v>11</v>
      </c>
      <c r="D10" s="8">
        <v>21.004000000000001</v>
      </c>
      <c r="E10" s="8">
        <v>24.527100000000001</v>
      </c>
      <c r="F10" s="8">
        <v>21.906300000000002</v>
      </c>
      <c r="G10" s="8">
        <v>20.057200000000002</v>
      </c>
      <c r="H10" s="8">
        <v>21.847999999999999</v>
      </c>
      <c r="I10" s="8">
        <v>21.235499999999998</v>
      </c>
      <c r="J10">
        <v>21.763016666666662</v>
      </c>
      <c r="K10">
        <v>1.5120912398617572</v>
      </c>
      <c r="L10" s="2">
        <v>-0.50196485943272406</v>
      </c>
      <c r="M10" s="3">
        <v>1.8279871349469925</v>
      </c>
      <c r="N10" s="3">
        <v>9.4758391263770253E-2</v>
      </c>
      <c r="O10" s="3">
        <v>-1.1281175511754267</v>
      </c>
      <c r="P10" s="3">
        <v>5.6202516814466023E-2</v>
      </c>
      <c r="Q10" s="4">
        <v>-0.34886563241705687</v>
      </c>
      <c r="R10" s="3">
        <v>0.47359355559267952</v>
      </c>
      <c r="S10" s="4">
        <v>-0.47359355559267252</v>
      </c>
      <c r="T10" s="31">
        <f t="shared" si="0"/>
        <v>9.4978660328220985E-2</v>
      </c>
      <c r="W10" t="s">
        <v>129</v>
      </c>
      <c r="X10" t="s">
        <v>80</v>
      </c>
      <c r="Y10" t="s">
        <v>81</v>
      </c>
      <c r="Z10">
        <v>0.10635699999999999</v>
      </c>
      <c r="AA10">
        <v>0</v>
      </c>
      <c r="AB10">
        <v>5.2832200000000003E-2</v>
      </c>
      <c r="AC10">
        <v>5.8041400000000003</v>
      </c>
      <c r="AD10">
        <v>6.3639200000000002</v>
      </c>
      <c r="AE10">
        <v>8.0569199999999999</v>
      </c>
      <c r="AF10">
        <v>3.3973615333333336</v>
      </c>
      <c r="AG10">
        <v>3.7379991844880789</v>
      </c>
      <c r="AH10">
        <v>-0.88041874032244838</v>
      </c>
      <c r="AI10">
        <v>-0.90887166252782481</v>
      </c>
      <c r="AJ10">
        <v>-0.89473784457001393</v>
      </c>
      <c r="AK10">
        <v>0.64386810908207204</v>
      </c>
      <c r="AL10">
        <v>0.79362202083330269</v>
      </c>
      <c r="AM10">
        <v>1.2465381175049122</v>
      </c>
      <c r="AN10">
        <v>-0.894676082473429</v>
      </c>
      <c r="AO10">
        <v>0.894676082473429</v>
      </c>
      <c r="AP10">
        <v>-6.9892520044939515</v>
      </c>
    </row>
    <row r="11" spans="1:42" x14ac:dyDescent="0.2">
      <c r="A11" t="s">
        <v>77</v>
      </c>
      <c r="B11" t="s">
        <v>10</v>
      </c>
      <c r="C11" t="s">
        <v>11</v>
      </c>
      <c r="D11" s="8">
        <v>1.02311</v>
      </c>
      <c r="E11" s="8">
        <v>0.89571599999999996</v>
      </c>
      <c r="F11" s="8">
        <v>0.82982299999999998</v>
      </c>
      <c r="G11" s="8">
        <v>0.81059800000000004</v>
      </c>
      <c r="H11" s="8">
        <v>0.63950099999999999</v>
      </c>
      <c r="I11" s="8">
        <v>0.90136300000000003</v>
      </c>
      <c r="J11">
        <v>0.85001850000000001</v>
      </c>
      <c r="K11">
        <v>0.12725143488817706</v>
      </c>
      <c r="L11" s="2">
        <v>1.3602322060423533</v>
      </c>
      <c r="M11" s="3">
        <v>0.35911186416213609</v>
      </c>
      <c r="N11" s="3">
        <v>-0.15870547957079578</v>
      </c>
      <c r="O11" s="3">
        <v>-0.30978432608356021</v>
      </c>
      <c r="P11" s="3">
        <v>-1.6543428385306107</v>
      </c>
      <c r="Q11" s="4">
        <v>0.40348857398047649</v>
      </c>
      <c r="R11" s="3">
        <v>0.52021286354456453</v>
      </c>
      <c r="S11" s="4">
        <v>-0.52021286354456475</v>
      </c>
      <c r="T11" s="31">
        <f t="shared" si="0"/>
        <v>0.22516466955356884</v>
      </c>
      <c r="W11" t="s">
        <v>25</v>
      </c>
      <c r="X11" t="s">
        <v>26</v>
      </c>
      <c r="Y11" t="s">
        <v>27</v>
      </c>
      <c r="Z11">
        <v>6.2714100000000004</v>
      </c>
      <c r="AA11">
        <v>5.3637300000000003</v>
      </c>
      <c r="AB11">
        <v>5.9369899999999998</v>
      </c>
      <c r="AC11">
        <v>3.80355</v>
      </c>
      <c r="AD11">
        <v>3.5497000000000001</v>
      </c>
      <c r="AE11">
        <v>4.1835500000000003</v>
      </c>
      <c r="AF11">
        <v>4.8514883333333341</v>
      </c>
      <c r="AG11">
        <v>1.1572253164603103</v>
      </c>
      <c r="AH11">
        <v>1.2270053605549216</v>
      </c>
      <c r="AI11">
        <v>0.44264644004980574</v>
      </c>
      <c r="AJ11">
        <v>0.93802101563675511</v>
      </c>
      <c r="AK11">
        <v>-0.9055611888432753</v>
      </c>
      <c r="AL11">
        <v>-1.1249221001448613</v>
      </c>
      <c r="AM11">
        <v>-0.57718952725334904</v>
      </c>
      <c r="AN11">
        <v>0.86922427208049413</v>
      </c>
      <c r="AO11">
        <v>-0.86922427208049535</v>
      </c>
      <c r="AP11">
        <v>0.60704596333195093</v>
      </c>
    </row>
    <row r="12" spans="1:42" x14ac:dyDescent="0.2">
      <c r="A12" t="s">
        <v>66</v>
      </c>
      <c r="B12" t="s">
        <v>10</v>
      </c>
      <c r="C12" t="s">
        <v>11</v>
      </c>
      <c r="D12" s="8">
        <v>1.89428</v>
      </c>
      <c r="E12" s="8">
        <v>2.1878500000000001</v>
      </c>
      <c r="F12" s="8">
        <v>1.97377</v>
      </c>
      <c r="G12" s="8">
        <v>1.7262999999999999</v>
      </c>
      <c r="H12" s="8">
        <v>1.6138300000000001</v>
      </c>
      <c r="I12" s="8">
        <v>1.3268599999999999</v>
      </c>
      <c r="J12">
        <v>1.7871483333333333</v>
      </c>
      <c r="K12">
        <v>0.30082346327483644</v>
      </c>
      <c r="L12" s="2">
        <v>0.35612802771567609</v>
      </c>
      <c r="M12" s="3">
        <v>1.3320160013601738</v>
      </c>
      <c r="N12" s="3">
        <v>0.62036938420646592</v>
      </c>
      <c r="O12" s="3">
        <v>-0.20227256435027982</v>
      </c>
      <c r="P12" s="3">
        <v>-0.57614632664137377</v>
      </c>
      <c r="Q12" s="4">
        <v>-1.5300945222906621</v>
      </c>
      <c r="R12" s="3">
        <v>0.76950447109410536</v>
      </c>
      <c r="S12" s="4">
        <v>-0.76950447109410514</v>
      </c>
      <c r="T12" s="31">
        <f t="shared" si="0"/>
        <v>0.37584900652344994</v>
      </c>
      <c r="W12" t="s">
        <v>36</v>
      </c>
      <c r="X12" t="s">
        <v>26</v>
      </c>
      <c r="Y12" t="s">
        <v>27</v>
      </c>
      <c r="Z12">
        <v>2.0834100000000002</v>
      </c>
      <c r="AA12">
        <v>2.43235</v>
      </c>
      <c r="AB12">
        <v>0.98807299999999998</v>
      </c>
      <c r="AC12">
        <v>1.16028</v>
      </c>
      <c r="AD12">
        <v>1.2287600000000001</v>
      </c>
      <c r="AE12">
        <v>1.47506</v>
      </c>
      <c r="AF12">
        <v>1.5613221666666668</v>
      </c>
      <c r="AG12">
        <v>0.5724951309453794</v>
      </c>
      <c r="AH12">
        <v>0.91195156973858138</v>
      </c>
      <c r="AI12">
        <v>1.5214589369432319</v>
      </c>
      <c r="AJ12">
        <v>-1.0013171041647853</v>
      </c>
      <c r="AK12">
        <v>-0.70051629260918458</v>
      </c>
      <c r="AL12">
        <v>-0.58089955475690469</v>
      </c>
      <c r="AM12">
        <v>-0.15067755515093953</v>
      </c>
      <c r="AN12">
        <v>0.47736446750567602</v>
      </c>
      <c r="AO12">
        <v>-0.47736446750567629</v>
      </c>
      <c r="AP12">
        <v>0.5103042652249431</v>
      </c>
    </row>
    <row r="13" spans="1:42" x14ac:dyDescent="0.2">
      <c r="A13" s="40" t="s">
        <v>83</v>
      </c>
      <c r="B13" s="40" t="s">
        <v>10</v>
      </c>
      <c r="C13" s="40" t="s">
        <v>11</v>
      </c>
      <c r="D13" s="41">
        <v>1.10225</v>
      </c>
      <c r="E13" s="41">
        <v>1.03566</v>
      </c>
      <c r="F13" s="41">
        <v>1.9268400000000001</v>
      </c>
      <c r="G13" s="41">
        <v>0</v>
      </c>
      <c r="H13" s="41">
        <v>0</v>
      </c>
      <c r="I13" s="41">
        <v>0</v>
      </c>
      <c r="J13" s="40">
        <v>0.67745833333333338</v>
      </c>
      <c r="K13" s="40">
        <v>0.80579902249671831</v>
      </c>
      <c r="L13" s="42">
        <v>0.52716825760159891</v>
      </c>
      <c r="M13" s="43">
        <v>0.44452978554975281</v>
      </c>
      <c r="N13" s="43">
        <v>1.550487940275151</v>
      </c>
      <c r="O13" s="43">
        <v>-0.8407286611421676</v>
      </c>
      <c r="P13" s="43">
        <v>-0.8407286611421676</v>
      </c>
      <c r="Q13" s="44">
        <v>-0.8407286611421676</v>
      </c>
      <c r="R13" s="43">
        <v>0.8407286611421676</v>
      </c>
      <c r="S13" s="44">
        <v>-0.8407286611421676</v>
      </c>
      <c r="T13" s="15">
        <v>1</v>
      </c>
      <c r="W13" t="s">
        <v>45</v>
      </c>
      <c r="X13" t="s">
        <v>17</v>
      </c>
      <c r="Y13" t="s">
        <v>18</v>
      </c>
      <c r="Z13">
        <v>7.8173000000000006E-2</v>
      </c>
      <c r="AA13">
        <v>0.13672899999999999</v>
      </c>
      <c r="AB13">
        <v>0.116589</v>
      </c>
      <c r="AC13">
        <v>2.2852500000000001E-2</v>
      </c>
      <c r="AD13">
        <v>2.3365299999999999E-2</v>
      </c>
      <c r="AE13">
        <v>0.238014</v>
      </c>
      <c r="AF13">
        <v>0.10262046666666665</v>
      </c>
      <c r="AG13">
        <v>8.1156527049934021E-2</v>
      </c>
      <c r="AH13">
        <v>-0.30123845308984937</v>
      </c>
      <c r="AI13">
        <v>0.42028083967105972</v>
      </c>
      <c r="AJ13">
        <v>0.17211842153791015</v>
      </c>
      <c r="AK13">
        <v>-0.98289034248085783</v>
      </c>
      <c r="AL13">
        <v>-0.97657168865669308</v>
      </c>
      <c r="AM13">
        <v>1.6683012230184318</v>
      </c>
      <c r="AN13">
        <v>9.705360270637349E-2</v>
      </c>
      <c r="AO13">
        <v>-9.7053602706373088E-2</v>
      </c>
      <c r="AP13">
        <v>0.221901728541016</v>
      </c>
    </row>
    <row r="14" spans="1:42" ht="16" thickBot="1" x14ac:dyDescent="0.25">
      <c r="A14" t="s">
        <v>39</v>
      </c>
      <c r="B14" t="s">
        <v>10</v>
      </c>
      <c r="C14" t="s">
        <v>11</v>
      </c>
      <c r="D14" s="8">
        <v>1.19509</v>
      </c>
      <c r="E14" s="8">
        <v>1.0839799999999999</v>
      </c>
      <c r="F14" s="8">
        <v>1.28365</v>
      </c>
      <c r="G14" s="8">
        <v>0.74745899999999998</v>
      </c>
      <c r="H14" s="8">
        <v>0.551597</v>
      </c>
      <c r="I14" s="8">
        <v>0.711677</v>
      </c>
      <c r="J14">
        <v>0.92890883333333329</v>
      </c>
      <c r="K14">
        <v>0.29773098815905369</v>
      </c>
      <c r="L14" s="5">
        <v>0.89403245632082995</v>
      </c>
      <c r="M14" s="6">
        <v>0.5208432203362876</v>
      </c>
      <c r="N14" s="6">
        <v>1.1914821794671806</v>
      </c>
      <c r="O14" s="6">
        <v>-0.60944221646286711</v>
      </c>
      <c r="P14" s="6">
        <v>-1.2672911061974039</v>
      </c>
      <c r="Q14" s="7">
        <v>-0.729624533464027</v>
      </c>
      <c r="R14" s="6">
        <v>0.86878595204143272</v>
      </c>
      <c r="S14" s="7">
        <v>-0.86878595204143272</v>
      </c>
      <c r="T14" s="31">
        <f t="shared" si="0"/>
        <v>0.82525758151734374</v>
      </c>
      <c r="W14" t="s">
        <v>64</v>
      </c>
      <c r="X14" t="s">
        <v>17</v>
      </c>
      <c r="Y14" t="s">
        <v>18</v>
      </c>
      <c r="Z14">
        <v>5.9422800000000002</v>
      </c>
      <c r="AA14">
        <v>5.1302000000000003</v>
      </c>
      <c r="AB14">
        <v>4.9083300000000003</v>
      </c>
      <c r="AC14">
        <v>24.486000000000001</v>
      </c>
      <c r="AD14">
        <v>26.1751</v>
      </c>
      <c r="AE14">
        <v>28.6815</v>
      </c>
      <c r="AF14">
        <v>15.887234999999999</v>
      </c>
      <c r="AG14">
        <v>11.650102399686881</v>
      </c>
      <c r="AH14">
        <v>-0.8536367028213665</v>
      </c>
      <c r="AI14">
        <v>-0.92334252789821947</v>
      </c>
      <c r="AJ14">
        <v>-0.94238699569671391</v>
      </c>
      <c r="AK14">
        <v>0.73808492878406895</v>
      </c>
      <c r="AL14">
        <v>0.88307077886942076</v>
      </c>
      <c r="AM14">
        <v>1.0982105187628111</v>
      </c>
      <c r="AN14">
        <v>-0.90645540880543329</v>
      </c>
      <c r="AO14">
        <v>0.90645540880543363</v>
      </c>
      <c r="AP14">
        <v>-2.3117551400789886</v>
      </c>
    </row>
    <row r="15" spans="1:42" x14ac:dyDescent="0.2">
      <c r="A15" s="13" t="s">
        <v>104</v>
      </c>
      <c r="B15" s="13" t="s">
        <v>20</v>
      </c>
      <c r="C15" s="13" t="s">
        <v>21</v>
      </c>
      <c r="D15" s="14">
        <v>11.076000000000001</v>
      </c>
      <c r="E15" s="14">
        <v>11.762499999999999</v>
      </c>
      <c r="F15" s="14">
        <v>9.8493499999999994</v>
      </c>
      <c r="G15" s="14">
        <v>24.196400000000001</v>
      </c>
      <c r="H15" s="14">
        <v>26.790600000000001</v>
      </c>
      <c r="I15" s="14">
        <v>27.965199999999999</v>
      </c>
      <c r="J15" s="13">
        <v>18.606674999999999</v>
      </c>
      <c r="K15" s="13">
        <v>8.5562630008520681</v>
      </c>
      <c r="L15" s="22">
        <v>-0.88013598918710922</v>
      </c>
      <c r="M15" s="23">
        <v>-0.79990236383786106</v>
      </c>
      <c r="N15" s="23">
        <v>-1.0234988100678895</v>
      </c>
      <c r="O15" s="23">
        <v>0.65329046096915833</v>
      </c>
      <c r="P15" s="23">
        <v>0.95648357223065872</v>
      </c>
      <c r="Q15" s="24">
        <v>1.0937631298930433</v>
      </c>
      <c r="R15" s="23">
        <v>-0.90117905436428669</v>
      </c>
      <c r="S15" s="24">
        <v>0.90117905436428669</v>
      </c>
      <c r="T15" s="15">
        <f t="shared" si="0"/>
        <v>-1.2722249784151831</v>
      </c>
      <c r="W15" t="s">
        <v>111</v>
      </c>
      <c r="X15" t="s">
        <v>17</v>
      </c>
      <c r="Y15" t="s">
        <v>18</v>
      </c>
      <c r="Z15">
        <v>0.24602399999999999</v>
      </c>
      <c r="AA15">
        <v>0.38943699999999998</v>
      </c>
      <c r="AB15">
        <v>0.34650399999999998</v>
      </c>
      <c r="AC15">
        <v>1.24634</v>
      </c>
      <c r="AD15">
        <v>1.98569</v>
      </c>
      <c r="AE15">
        <v>1.4979800000000001</v>
      </c>
      <c r="AF15">
        <v>0.95199583333333326</v>
      </c>
      <c r="AG15">
        <v>0.72591319860667003</v>
      </c>
      <c r="AH15">
        <v>-0.97252927028794545</v>
      </c>
      <c r="AI15">
        <v>-0.7749670820328356</v>
      </c>
      <c r="AJ15">
        <v>-0.834110516926162</v>
      </c>
      <c r="AK15">
        <v>0.4054812162551058</v>
      </c>
      <c r="AL15">
        <v>1.4239914202562465</v>
      </c>
      <c r="AM15">
        <v>0.75213423273559155</v>
      </c>
      <c r="AN15">
        <v>-0.86053562308231424</v>
      </c>
      <c r="AO15">
        <v>0.86053562308231457</v>
      </c>
      <c r="AP15">
        <v>-2.2680997248047774</v>
      </c>
    </row>
    <row r="16" spans="1:42" x14ac:dyDescent="0.2">
      <c r="A16" s="13" t="s">
        <v>19</v>
      </c>
      <c r="B16" s="13" t="s">
        <v>20</v>
      </c>
      <c r="C16" s="13" t="s">
        <v>21</v>
      </c>
      <c r="D16" s="14">
        <v>4.8283199999999998E-2</v>
      </c>
      <c r="E16" s="14">
        <v>9.9314200000000005E-2</v>
      </c>
      <c r="F16" s="14">
        <v>0.103835</v>
      </c>
      <c r="G16" s="14">
        <v>0.31308000000000002</v>
      </c>
      <c r="H16" s="14">
        <v>0.51510299999999998</v>
      </c>
      <c r="I16" s="14">
        <v>0.84695900000000002</v>
      </c>
      <c r="J16" s="13">
        <v>0.32109573333333336</v>
      </c>
      <c r="K16" s="13">
        <v>0.31146466889509428</v>
      </c>
      <c r="L16" s="25">
        <v>-0.87590202221369917</v>
      </c>
      <c r="M16" s="26">
        <v>-0.7120600038524193</v>
      </c>
      <c r="N16" s="26">
        <v>-0.69754535595981149</v>
      </c>
      <c r="O16" s="26">
        <v>-2.5735610275697571E-2</v>
      </c>
      <c r="P16" s="26">
        <v>0.62288691476596025</v>
      </c>
      <c r="Q16" s="27">
        <v>1.6883560775356672</v>
      </c>
      <c r="R16" s="26">
        <v>-0.76183579400864332</v>
      </c>
      <c r="S16" s="27">
        <v>0.76183579400864332</v>
      </c>
      <c r="T16" s="15">
        <f t="shared" si="0"/>
        <v>-2.7360409215248729</v>
      </c>
      <c r="W16" t="s">
        <v>61</v>
      </c>
      <c r="X16" t="s">
        <v>17</v>
      </c>
      <c r="Y16" t="s">
        <v>18</v>
      </c>
      <c r="Z16">
        <v>4.9808700000000004</v>
      </c>
      <c r="AA16">
        <v>5.2784599999999999</v>
      </c>
      <c r="AB16">
        <v>3.9822500000000001</v>
      </c>
      <c r="AC16">
        <v>1.9323900000000001</v>
      </c>
      <c r="AD16">
        <v>1.3940300000000001</v>
      </c>
      <c r="AE16">
        <v>3.5357699999999999</v>
      </c>
      <c r="AF16">
        <v>3.5172950000000003</v>
      </c>
      <c r="AG16">
        <v>1.5799023093058637</v>
      </c>
      <c r="AH16">
        <v>0.9263705682176181</v>
      </c>
      <c r="AI16">
        <v>1.1147303156824768</v>
      </c>
      <c r="AJ16">
        <v>0.29429351249209806</v>
      </c>
      <c r="AK16">
        <v>-1.00316645571354</v>
      </c>
      <c r="AL16">
        <v>-1.3439217016733551</v>
      </c>
      <c r="AM16">
        <v>1.1693760994701399E-2</v>
      </c>
      <c r="AN16">
        <v>0.77846479879739772</v>
      </c>
      <c r="AO16">
        <v>-0.77846479879739794</v>
      </c>
      <c r="AP16">
        <v>1.0533682348988305</v>
      </c>
    </row>
    <row r="17" spans="1:42" x14ac:dyDescent="0.2">
      <c r="A17" t="s">
        <v>67</v>
      </c>
      <c r="B17" t="s">
        <v>20</v>
      </c>
      <c r="C17" t="s">
        <v>21</v>
      </c>
      <c r="D17" s="8">
        <v>21.786300000000001</v>
      </c>
      <c r="E17" s="8">
        <v>21.883500000000002</v>
      </c>
      <c r="F17" s="8">
        <v>22.430900000000001</v>
      </c>
      <c r="G17" s="8">
        <v>26.305399999999999</v>
      </c>
      <c r="H17" s="8">
        <v>25.434699999999999</v>
      </c>
      <c r="I17" s="8">
        <v>22.988099999999999</v>
      </c>
      <c r="J17">
        <v>23.471483333333335</v>
      </c>
      <c r="K17">
        <v>1.9268269464761654</v>
      </c>
      <c r="L17" s="2">
        <v>-0.8745898724404102</v>
      </c>
      <c r="M17" s="3">
        <v>-0.82414424203350578</v>
      </c>
      <c r="N17" s="3">
        <v>-0.54005022881602405</v>
      </c>
      <c r="O17" s="3">
        <v>1.4707686499036194</v>
      </c>
      <c r="P17" s="3">
        <v>1.0188858269067957</v>
      </c>
      <c r="Q17" s="4">
        <v>-0.25087013352048082</v>
      </c>
      <c r="R17" s="3">
        <v>-0.74626144776331349</v>
      </c>
      <c r="S17" s="4">
        <v>0.74626144776331138</v>
      </c>
      <c r="T17" s="31">
        <f t="shared" si="0"/>
        <v>-0.1769872222868264</v>
      </c>
      <c r="W17" t="s">
        <v>72</v>
      </c>
      <c r="X17" t="s">
        <v>17</v>
      </c>
      <c r="Y17" t="s">
        <v>18</v>
      </c>
      <c r="Z17">
        <v>8.8711500000000001</v>
      </c>
      <c r="AA17">
        <v>12.2118</v>
      </c>
      <c r="AB17">
        <v>12.647600000000001</v>
      </c>
      <c r="AC17">
        <v>37.040700000000001</v>
      </c>
      <c r="AD17">
        <v>44.976300000000002</v>
      </c>
      <c r="AE17">
        <v>63.654600000000002</v>
      </c>
      <c r="AF17">
        <v>29.900358333333333</v>
      </c>
      <c r="AG17">
        <v>22.22785502873403</v>
      </c>
      <c r="AH17">
        <v>-0.9460745675256923</v>
      </c>
      <c r="AI17">
        <v>-0.79578341277047504</v>
      </c>
      <c r="AJ17">
        <v>-0.77617738243436574</v>
      </c>
      <c r="AK17">
        <v>0.32123394980920661</v>
      </c>
      <c r="AL17">
        <v>0.67824545585608431</v>
      </c>
      <c r="AM17">
        <v>1.5185559570652427</v>
      </c>
      <c r="AN17">
        <v>-0.83934512091017766</v>
      </c>
      <c r="AO17">
        <v>0.83934512091017799</v>
      </c>
      <c r="AP17">
        <v>-2.110591890526575</v>
      </c>
    </row>
    <row r="18" spans="1:42" x14ac:dyDescent="0.2">
      <c r="A18" s="48" t="s">
        <v>149</v>
      </c>
      <c r="B18" s="48" t="s">
        <v>20</v>
      </c>
      <c r="C18" s="48" t="s">
        <v>21</v>
      </c>
      <c r="D18" s="49">
        <v>0</v>
      </c>
      <c r="E18" s="49">
        <v>0</v>
      </c>
      <c r="F18" s="49">
        <v>0</v>
      </c>
      <c r="G18" s="49">
        <v>0.68805499999999997</v>
      </c>
      <c r="H18" s="49">
        <v>0.70208099999999996</v>
      </c>
      <c r="I18" s="49">
        <v>0</v>
      </c>
      <c r="J18" s="48">
        <v>0.23168933333333333</v>
      </c>
      <c r="K18" s="48">
        <v>0.35895897551205858</v>
      </c>
      <c r="L18" s="50">
        <v>-0.64544794569581709</v>
      </c>
      <c r="M18" s="51">
        <v>-0.64544794569581709</v>
      </c>
      <c r="N18" s="51">
        <v>-0.64544794569581709</v>
      </c>
      <c r="O18" s="51">
        <v>1.2713588398664679</v>
      </c>
      <c r="P18" s="51">
        <v>1.3104329429168005</v>
      </c>
      <c r="Q18" s="52">
        <v>-0.64544794569581709</v>
      </c>
      <c r="R18" s="51">
        <v>-0.64544794569581709</v>
      </c>
      <c r="S18" s="52">
        <v>0.64544794569581709</v>
      </c>
      <c r="T18" s="15">
        <v>-1</v>
      </c>
      <c r="W18" t="s">
        <v>85</v>
      </c>
      <c r="X18" t="s">
        <v>13</v>
      </c>
      <c r="Y18" t="s">
        <v>14</v>
      </c>
      <c r="Z18">
        <v>9.0401199999999999</v>
      </c>
      <c r="AA18">
        <v>8.5539500000000004</v>
      </c>
      <c r="AB18">
        <v>7.9099300000000001</v>
      </c>
      <c r="AC18">
        <v>33.457799999999999</v>
      </c>
      <c r="AD18">
        <v>39.4084</v>
      </c>
      <c r="AE18">
        <v>46.1128</v>
      </c>
      <c r="AF18">
        <v>24.080500000000001</v>
      </c>
      <c r="AG18">
        <v>17.53325204610827</v>
      </c>
      <c r="AH18">
        <v>-0.85782032679661424</v>
      </c>
      <c r="AI18">
        <v>-0.88554878234618872</v>
      </c>
      <c r="AJ18">
        <v>-0.92228013134558606</v>
      </c>
      <c r="AK18">
        <v>0.53482947574927553</v>
      </c>
      <c r="AL18">
        <v>0.87421888191028563</v>
      </c>
      <c r="AM18">
        <v>1.2566008828288275</v>
      </c>
      <c r="AN18">
        <v>-0.88854974682946297</v>
      </c>
      <c r="AO18">
        <v>0.88854974682946286</v>
      </c>
      <c r="AP18">
        <v>-2.221911518270296</v>
      </c>
    </row>
    <row r="19" spans="1:42" ht="16" thickBot="1" x14ac:dyDescent="0.25">
      <c r="A19" t="s">
        <v>54</v>
      </c>
      <c r="B19" t="s">
        <v>20</v>
      </c>
      <c r="C19" t="s">
        <v>21</v>
      </c>
      <c r="D19" s="8">
        <v>0.55587600000000004</v>
      </c>
      <c r="E19" s="8">
        <v>0.41671999999999998</v>
      </c>
      <c r="F19" s="8">
        <v>0.532941</v>
      </c>
      <c r="G19" s="8">
        <v>0.58031600000000005</v>
      </c>
      <c r="H19" s="8">
        <v>0.52219899999999997</v>
      </c>
      <c r="I19" s="8">
        <v>0.435195</v>
      </c>
      <c r="J19">
        <v>0.5072078333333333</v>
      </c>
      <c r="K19">
        <v>6.6293621972001796E-2</v>
      </c>
      <c r="L19" s="5">
        <v>0.73413045205496641</v>
      </c>
      <c r="M19" s="6">
        <v>-1.3649553402218635</v>
      </c>
      <c r="N19" s="6">
        <v>0.38816956897504779</v>
      </c>
      <c r="O19" s="6">
        <v>1.102793368229948</v>
      </c>
      <c r="P19" s="6">
        <v>0.22613286498357232</v>
      </c>
      <c r="Q19" s="7">
        <v>-1.0862709140216678</v>
      </c>
      <c r="R19" s="6">
        <v>-8.0885106397283094E-2</v>
      </c>
      <c r="S19" s="7">
        <v>8.088510639728419E-2</v>
      </c>
      <c r="T19" s="31">
        <f t="shared" si="0"/>
        <v>-3.0505283928419395E-2</v>
      </c>
      <c r="W19" t="s">
        <v>70</v>
      </c>
      <c r="X19" t="s">
        <v>13</v>
      </c>
      <c r="Y19" t="s">
        <v>14</v>
      </c>
      <c r="Z19">
        <v>16.4251</v>
      </c>
      <c r="AA19">
        <v>19.845700000000001</v>
      </c>
      <c r="AB19">
        <v>15.6494</v>
      </c>
      <c r="AC19">
        <v>26.244299999999999</v>
      </c>
      <c r="AD19">
        <v>26.7638</v>
      </c>
      <c r="AE19">
        <v>28.111499999999999</v>
      </c>
      <c r="AF19">
        <v>22.173300000000001</v>
      </c>
      <c r="AG19">
        <v>5.5484907263146699</v>
      </c>
      <c r="AH19">
        <v>-1.0359934410159821</v>
      </c>
      <c r="AI19">
        <v>-0.41950146712167286</v>
      </c>
      <c r="AJ19">
        <v>-1.1757972251912192</v>
      </c>
      <c r="AK19">
        <v>0.73371304032150253</v>
      </c>
      <c r="AL19">
        <v>0.82734210552588006</v>
      </c>
      <c r="AM19">
        <v>1.0702369874814903</v>
      </c>
      <c r="AN19">
        <v>-0.87709737777629149</v>
      </c>
      <c r="AO19">
        <v>0.87709737777629104</v>
      </c>
      <c r="AP19">
        <v>-0.64375459773960308</v>
      </c>
    </row>
    <row r="20" spans="1:42" x14ac:dyDescent="0.2">
      <c r="A20" s="13" t="s">
        <v>129</v>
      </c>
      <c r="B20" s="13" t="s">
        <v>80</v>
      </c>
      <c r="C20" s="13" t="s">
        <v>81</v>
      </c>
      <c r="D20" s="14">
        <v>0.10635699999999999</v>
      </c>
      <c r="E20" s="14">
        <v>0</v>
      </c>
      <c r="F20" s="14">
        <v>5.2832200000000003E-2</v>
      </c>
      <c r="G20" s="14">
        <v>5.8041400000000003</v>
      </c>
      <c r="H20" s="14">
        <v>6.3639200000000002</v>
      </c>
      <c r="I20" s="14">
        <v>8.0569199999999999</v>
      </c>
      <c r="J20" s="13">
        <v>3.3973615333333336</v>
      </c>
      <c r="K20" s="13">
        <v>3.7379991844880789</v>
      </c>
      <c r="L20" s="22">
        <v>-0.88041874032244838</v>
      </c>
      <c r="M20" s="23">
        <v>-0.90887166252782481</v>
      </c>
      <c r="N20" s="23">
        <v>-0.89473784457001393</v>
      </c>
      <c r="O20" s="23">
        <v>0.64386810908207204</v>
      </c>
      <c r="P20" s="23">
        <v>0.79362202083330269</v>
      </c>
      <c r="Q20" s="24">
        <v>1.2465381175049122</v>
      </c>
      <c r="R20" s="23">
        <v>-0.894676082473429</v>
      </c>
      <c r="S20" s="24">
        <v>0.894676082473429</v>
      </c>
      <c r="T20" s="15">
        <f t="shared" si="0"/>
        <v>-6.9892520044939515</v>
      </c>
      <c r="W20" t="s">
        <v>139</v>
      </c>
      <c r="X20" t="s">
        <v>23</v>
      </c>
      <c r="Y20" t="s">
        <v>24</v>
      </c>
      <c r="Z20">
        <v>15.819800000000001</v>
      </c>
      <c r="AA20">
        <v>12.728300000000001</v>
      </c>
      <c r="AB20">
        <v>15.0039</v>
      </c>
      <c r="AC20">
        <v>28.0061</v>
      </c>
      <c r="AD20">
        <v>23.385200000000001</v>
      </c>
      <c r="AE20">
        <v>24.973199999999999</v>
      </c>
      <c r="AF20">
        <v>19.98608333333333</v>
      </c>
      <c r="AG20">
        <v>6.2546219803971166</v>
      </c>
      <c r="AH20">
        <v>-0.66611273173519669</v>
      </c>
      <c r="AI20">
        <v>-1.1603872074252071</v>
      </c>
      <c r="AJ20">
        <v>-0.7965602635855864</v>
      </c>
      <c r="AK20">
        <v>1.2822544179012823</v>
      </c>
      <c r="AL20">
        <v>0.54345677121974612</v>
      </c>
      <c r="AM20">
        <v>0.79734901362496546</v>
      </c>
      <c r="AN20">
        <v>-0.87435340091533009</v>
      </c>
      <c r="AO20">
        <v>0.87435340091533131</v>
      </c>
      <c r="AP20">
        <v>-0.81016314828856872</v>
      </c>
    </row>
    <row r="21" spans="1:42" s="32" customFormat="1" ht="16" thickBot="1" x14ac:dyDescent="0.25">
      <c r="A21" s="55" t="s">
        <v>79</v>
      </c>
      <c r="B21" s="55" t="s">
        <v>80</v>
      </c>
      <c r="C21" s="55" t="s">
        <v>81</v>
      </c>
      <c r="D21" s="56">
        <v>154.52500000000001</v>
      </c>
      <c r="E21" s="56">
        <v>176.86500000000001</v>
      </c>
      <c r="F21" s="56">
        <v>139.626</v>
      </c>
      <c r="G21" s="56">
        <v>241.42500000000001</v>
      </c>
      <c r="H21" s="56">
        <v>286.75700000000001</v>
      </c>
      <c r="I21" s="56">
        <v>308.48</v>
      </c>
      <c r="J21" s="55">
        <v>217.94633333333334</v>
      </c>
      <c r="K21" s="55">
        <v>71.170944238970577</v>
      </c>
      <c r="L21" s="37">
        <v>-0.89111271476718945</v>
      </c>
      <c r="M21" s="38">
        <v>-0.57722057466871035</v>
      </c>
      <c r="N21" s="38">
        <v>-1.1004537620065467</v>
      </c>
      <c r="O21" s="38">
        <v>0.32989117845384186</v>
      </c>
      <c r="P21" s="38">
        <v>0.96683650051938597</v>
      </c>
      <c r="Q21" s="39">
        <v>1.2720593724692189</v>
      </c>
      <c r="R21" s="38">
        <v>-0.85626235048081545</v>
      </c>
      <c r="S21" s="39">
        <v>0.85626235048081556</v>
      </c>
      <c r="T21" s="31">
        <f t="shared" si="0"/>
        <v>-0.8288688436608096</v>
      </c>
      <c r="W21" t="s">
        <v>55</v>
      </c>
      <c r="X21" t="s">
        <v>23</v>
      </c>
      <c r="Y21" t="s">
        <v>24</v>
      </c>
      <c r="Z21">
        <v>0</v>
      </c>
      <c r="AA21">
        <v>0</v>
      </c>
      <c r="AB21">
        <v>0</v>
      </c>
      <c r="AC21">
        <v>0.27645999999999998</v>
      </c>
      <c r="AD21">
        <v>7.0936700000000005E-2</v>
      </c>
      <c r="AE21">
        <v>0.14416200000000001</v>
      </c>
      <c r="AF21">
        <v>8.1926449999999998E-2</v>
      </c>
      <c r="AG21">
        <v>0.11133119059210225</v>
      </c>
      <c r="AH21">
        <v>-0.73588048025251063</v>
      </c>
      <c r="AI21">
        <v>-0.73588048025251063</v>
      </c>
      <c r="AJ21">
        <v>-0.73588048025251063</v>
      </c>
      <c r="AK21">
        <v>1.7473409649658418</v>
      </c>
      <c r="AL21">
        <v>-9.8712229174522062E-2</v>
      </c>
      <c r="AM21">
        <v>0.55901270496621236</v>
      </c>
      <c r="AN21">
        <v>-0.73588048025251063</v>
      </c>
      <c r="AO21">
        <v>0.73588048025251063</v>
      </c>
      <c r="AP21">
        <v>-1</v>
      </c>
    </row>
    <row r="22" spans="1:42" s="32" customFormat="1" x14ac:dyDescent="0.2">
      <c r="A22" s="55" t="s">
        <v>107</v>
      </c>
      <c r="B22" s="55" t="s">
        <v>59</v>
      </c>
      <c r="C22" s="55" t="s">
        <v>60</v>
      </c>
      <c r="D22" s="56">
        <v>198.35900000000001</v>
      </c>
      <c r="E22" s="56">
        <v>200.06299999999999</v>
      </c>
      <c r="F22" s="56">
        <v>194.75700000000001</v>
      </c>
      <c r="G22" s="56">
        <v>298.733</v>
      </c>
      <c r="H22" s="56">
        <v>335.83</v>
      </c>
      <c r="I22" s="56">
        <v>343.49299999999999</v>
      </c>
      <c r="J22" s="55">
        <v>261.8725</v>
      </c>
      <c r="K22" s="55">
        <v>71.901576616232816</v>
      </c>
      <c r="L22" s="34">
        <v>-0.88333946192858459</v>
      </c>
      <c r="M22" s="35">
        <v>-0.8596403988455189</v>
      </c>
      <c r="N22" s="35">
        <v>-0.93343572086356319</v>
      </c>
      <c r="O22" s="35">
        <v>0.51265218003130986</v>
      </c>
      <c r="P22" s="35">
        <v>1.0285935786184557</v>
      </c>
      <c r="Q22" s="36">
        <v>1.1351698229879008</v>
      </c>
      <c r="R22" s="35">
        <v>-0.8921385272125556</v>
      </c>
      <c r="S22" s="36">
        <v>0.89213852721255549</v>
      </c>
      <c r="T22" s="31">
        <f t="shared" si="0"/>
        <v>-0.72144954738456557</v>
      </c>
      <c r="W22" t="s">
        <v>47</v>
      </c>
      <c r="X22" t="s">
        <v>23</v>
      </c>
      <c r="Y22" t="s">
        <v>24</v>
      </c>
      <c r="Z22">
        <v>17.543600000000001</v>
      </c>
      <c r="AA22">
        <v>14.9809</v>
      </c>
      <c r="AB22">
        <v>17.0276</v>
      </c>
      <c r="AC22">
        <v>12.608499999999999</v>
      </c>
      <c r="AD22">
        <v>13.025700000000001</v>
      </c>
      <c r="AE22">
        <v>9.9064099999999993</v>
      </c>
      <c r="AF22">
        <v>14.182118333333333</v>
      </c>
      <c r="AG22">
        <v>2.9027447987752346</v>
      </c>
      <c r="AH22">
        <v>1.1580355490034777</v>
      </c>
      <c r="AI22">
        <v>0.27518149959434929</v>
      </c>
      <c r="AJ22">
        <v>0.98027276385690898</v>
      </c>
      <c r="AK22">
        <v>-0.54211391025394184</v>
      </c>
      <c r="AL22">
        <v>-0.39838787544163873</v>
      </c>
      <c r="AM22">
        <v>-1.4729880267591553</v>
      </c>
      <c r="AN22">
        <v>0.80449660415157875</v>
      </c>
      <c r="AO22">
        <v>-0.80449660415157853</v>
      </c>
      <c r="AP22">
        <v>0.47947775637490131</v>
      </c>
    </row>
    <row r="23" spans="1:42" x14ac:dyDescent="0.2">
      <c r="A23" s="31" t="s">
        <v>132</v>
      </c>
      <c r="B23" s="31" t="s">
        <v>59</v>
      </c>
      <c r="C23" s="31" t="s">
        <v>60</v>
      </c>
      <c r="D23" s="57">
        <v>46.523299999999999</v>
      </c>
      <c r="E23" s="57">
        <v>55.733699999999999</v>
      </c>
      <c r="F23" s="57">
        <v>56.961799999999997</v>
      </c>
      <c r="G23" s="57">
        <v>23.101600000000001</v>
      </c>
      <c r="H23" s="57">
        <v>29.358699999999999</v>
      </c>
      <c r="I23" s="57">
        <v>41.774500000000003</v>
      </c>
      <c r="J23" s="31">
        <v>42.242266666666666</v>
      </c>
      <c r="K23" s="31">
        <v>13.781007927530798</v>
      </c>
      <c r="L23" s="28">
        <v>0.31064733115645077</v>
      </c>
      <c r="M23" s="29">
        <v>0.97898741545464385</v>
      </c>
      <c r="N23" s="29">
        <v>1.0681028129972705</v>
      </c>
      <c r="O23" s="29">
        <v>-1.3889163091205172</v>
      </c>
      <c r="P23" s="29">
        <v>-0.9348784018133186</v>
      </c>
      <c r="Q23" s="30">
        <v>-3.3942848674529007E-2</v>
      </c>
      <c r="R23" s="29">
        <v>0.7859125198694551</v>
      </c>
      <c r="S23" s="30">
        <v>-0.78591251986945487</v>
      </c>
      <c r="T23" s="31">
        <f t="shared" si="0"/>
        <v>0.75667885766204501</v>
      </c>
      <c r="W23" t="s">
        <v>51</v>
      </c>
      <c r="X23" t="s">
        <v>23</v>
      </c>
      <c r="Y23" t="s">
        <v>24</v>
      </c>
      <c r="Z23">
        <v>0</v>
      </c>
      <c r="AA23">
        <v>0</v>
      </c>
      <c r="AB23">
        <v>0</v>
      </c>
      <c r="AC23">
        <v>0.15284800000000001</v>
      </c>
      <c r="AD23">
        <v>0</v>
      </c>
      <c r="AE23">
        <v>0</v>
      </c>
      <c r="AF23">
        <v>2.547466666666667E-2</v>
      </c>
      <c r="AG23">
        <v>6.2399934700820538E-2</v>
      </c>
      <c r="AH23">
        <v>-0.40824829046386302</v>
      </c>
      <c r="AI23">
        <v>-0.40824829046386302</v>
      </c>
      <c r="AJ23">
        <v>-0.40824829046386302</v>
      </c>
      <c r="AK23">
        <v>2.0412414523193152</v>
      </c>
      <c r="AL23">
        <v>-0.40824829046386302</v>
      </c>
      <c r="AM23">
        <v>-0.40824829046386302</v>
      </c>
      <c r="AN23">
        <v>-0.40824829046386296</v>
      </c>
      <c r="AO23">
        <v>0.40824829046386296</v>
      </c>
      <c r="AP23">
        <v>-1</v>
      </c>
    </row>
    <row r="24" spans="1:42" ht="16" thickBot="1" x14ac:dyDescent="0.25">
      <c r="A24" s="31" t="s">
        <v>58</v>
      </c>
      <c r="B24" s="31" t="s">
        <v>59</v>
      </c>
      <c r="C24" s="31" t="s">
        <v>60</v>
      </c>
      <c r="D24" s="57">
        <v>16.866399999999999</v>
      </c>
      <c r="E24" s="57">
        <v>16.1159</v>
      </c>
      <c r="F24" s="57">
        <v>17.7073</v>
      </c>
      <c r="G24" s="57">
        <v>11.853999999999999</v>
      </c>
      <c r="H24" s="57">
        <v>13.7079</v>
      </c>
      <c r="I24" s="57">
        <v>11.998900000000001</v>
      </c>
      <c r="J24" s="31">
        <v>14.708399999999999</v>
      </c>
      <c r="K24" s="31">
        <v>2.5346167883922672</v>
      </c>
      <c r="L24" s="58">
        <v>0.8514107575878721</v>
      </c>
      <c r="M24" s="59">
        <v>0.55531076983546379</v>
      </c>
      <c r="N24" s="59">
        <v>1.1831768864366408</v>
      </c>
      <c r="O24" s="59">
        <v>-1.1261662958567298</v>
      </c>
      <c r="P24" s="59">
        <v>-0.3947342275100395</v>
      </c>
      <c r="Q24" s="60">
        <v>-1.068997890493206</v>
      </c>
      <c r="R24" s="59">
        <v>0.86329947128665874</v>
      </c>
      <c r="S24" s="60">
        <v>-0.86329947128665852</v>
      </c>
      <c r="T24" s="31">
        <f t="shared" si="0"/>
        <v>0.43246198843429495</v>
      </c>
    </row>
    <row r="25" spans="1:42" x14ac:dyDescent="0.2">
      <c r="A25" s="53" t="s">
        <v>123</v>
      </c>
      <c r="B25" s="53" t="s">
        <v>32</v>
      </c>
      <c r="C25" s="53" t="s">
        <v>33</v>
      </c>
      <c r="D25" s="54">
        <v>1.1234</v>
      </c>
      <c r="E25" s="54">
        <v>0.82732399999999995</v>
      </c>
      <c r="F25" s="54">
        <v>0.47421600000000003</v>
      </c>
      <c r="G25" s="54">
        <v>30.578499999999998</v>
      </c>
      <c r="H25" s="54">
        <v>27.6111</v>
      </c>
      <c r="I25" s="54">
        <v>27.7056</v>
      </c>
      <c r="J25" s="53">
        <v>14.720023333333332</v>
      </c>
      <c r="K25" s="53">
        <v>15.278184634257864</v>
      </c>
      <c r="L25" s="22">
        <v>-0.88993710043574081</v>
      </c>
      <c r="M25" s="23">
        <v>-0.9093161043611232</v>
      </c>
      <c r="N25" s="23">
        <v>-0.9324280125133676</v>
      </c>
      <c r="O25" s="23">
        <v>1.0379817397354676</v>
      </c>
      <c r="P25" s="23">
        <v>0.84375709387366304</v>
      </c>
      <c r="Q25" s="24">
        <v>0.84994238370110142</v>
      </c>
      <c r="R25" s="23">
        <v>-0.91056040577007724</v>
      </c>
      <c r="S25" s="24">
        <v>0.91056040577007735</v>
      </c>
      <c r="T25" s="15">
        <f t="shared" si="0"/>
        <v>-5.1465565564341427</v>
      </c>
    </row>
    <row r="26" spans="1:42" x14ac:dyDescent="0.2">
      <c r="A26" s="13" t="s">
        <v>37</v>
      </c>
      <c r="B26" s="13" t="s">
        <v>32</v>
      </c>
      <c r="C26" s="13" t="s">
        <v>33</v>
      </c>
      <c r="D26" s="14">
        <v>0.10979</v>
      </c>
      <c r="E26" s="14">
        <v>0.111222</v>
      </c>
      <c r="F26" s="14">
        <v>0.16314799999999999</v>
      </c>
      <c r="G26" s="14">
        <v>0.644065</v>
      </c>
      <c r="H26" s="14">
        <v>0.62588600000000005</v>
      </c>
      <c r="I26" s="14">
        <v>0.67186999999999997</v>
      </c>
      <c r="J26" s="13">
        <v>0.38766349999999994</v>
      </c>
      <c r="K26" s="13">
        <v>0.28541402138489991</v>
      </c>
      <c r="L26" s="25">
        <v>-0.97358041014133967</v>
      </c>
      <c r="M26" s="26">
        <v>-0.96856313736317845</v>
      </c>
      <c r="N26" s="26">
        <v>-0.78663094024110947</v>
      </c>
      <c r="O26" s="26">
        <v>0.89834934792578214</v>
      </c>
      <c r="P26" s="26">
        <v>0.83465591089073066</v>
      </c>
      <c r="Q26" s="27">
        <v>0.99576922892911612</v>
      </c>
      <c r="R26" s="26">
        <v>-0.90959149591520916</v>
      </c>
      <c r="S26" s="27">
        <v>0.9095914959152096</v>
      </c>
      <c r="T26" s="15">
        <f t="shared" si="0"/>
        <v>-2.3376310032793906</v>
      </c>
    </row>
    <row r="27" spans="1:42" x14ac:dyDescent="0.2">
      <c r="A27" s="53" t="s">
        <v>31</v>
      </c>
      <c r="B27" s="53" t="s">
        <v>32</v>
      </c>
      <c r="C27" s="53" t="s">
        <v>33</v>
      </c>
      <c r="D27" s="54">
        <v>40.738199999999999</v>
      </c>
      <c r="E27" s="54">
        <v>42.628900000000002</v>
      </c>
      <c r="F27" s="54">
        <v>31.886500000000002</v>
      </c>
      <c r="G27" s="54">
        <v>107.999</v>
      </c>
      <c r="H27" s="54">
        <v>103.53100000000001</v>
      </c>
      <c r="I27" s="54">
        <v>114.812</v>
      </c>
      <c r="J27" s="53">
        <v>73.599266666666665</v>
      </c>
      <c r="K27" s="53">
        <v>38.875976950999792</v>
      </c>
      <c r="L27" s="25">
        <v>-0.84527950791013018</v>
      </c>
      <c r="M27" s="26">
        <v>-0.79664536033917432</v>
      </c>
      <c r="N27" s="26">
        <v>-1.0729702489339994</v>
      </c>
      <c r="O27" s="26">
        <v>0.88485836321725297</v>
      </c>
      <c r="P27" s="26">
        <v>0.76992877557932526</v>
      </c>
      <c r="Q27" s="27">
        <v>1.0601079783867255</v>
      </c>
      <c r="R27" s="26">
        <v>-0.90496503906110126</v>
      </c>
      <c r="S27" s="27">
        <v>0.90496503906110126</v>
      </c>
      <c r="T27" s="15">
        <f t="shared" si="0"/>
        <v>-1.5015728586668657</v>
      </c>
    </row>
    <row r="28" spans="1:42" x14ac:dyDescent="0.2">
      <c r="A28" s="13" t="s">
        <v>131</v>
      </c>
      <c r="B28" s="13" t="s">
        <v>32</v>
      </c>
      <c r="C28" s="13" t="s">
        <v>33</v>
      </c>
      <c r="D28" s="14">
        <v>0.10592500000000001</v>
      </c>
      <c r="E28" s="14">
        <v>5.3476799999999998E-2</v>
      </c>
      <c r="F28" s="14">
        <v>0</v>
      </c>
      <c r="G28" s="14">
        <v>4.2416200000000002</v>
      </c>
      <c r="H28" s="14">
        <v>6.1083999999999996</v>
      </c>
      <c r="I28" s="14">
        <v>5.0773400000000004</v>
      </c>
      <c r="J28" s="13">
        <v>2.5977936333333336</v>
      </c>
      <c r="K28" s="13">
        <v>2.8497775901090963</v>
      </c>
      <c r="L28" s="25">
        <v>-0.87440810889313603</v>
      </c>
      <c r="M28" s="26">
        <v>-0.89281242233220426</v>
      </c>
      <c r="N28" s="26">
        <v>-0.91157767621924624</v>
      </c>
      <c r="O28" s="26">
        <v>0.57682619597122209</v>
      </c>
      <c r="P28" s="26">
        <v>1.231887842353435</v>
      </c>
      <c r="Q28" s="27">
        <v>0.87008416911992903</v>
      </c>
      <c r="R28" s="26">
        <v>-0.8929327358148621</v>
      </c>
      <c r="S28" s="27">
        <v>0.89293273581486199</v>
      </c>
      <c r="T28" s="15">
        <f t="shared" si="0"/>
        <v>-6.5966794716200816</v>
      </c>
    </row>
    <row r="29" spans="1:42" x14ac:dyDescent="0.2">
      <c r="A29" s="13" t="s">
        <v>148</v>
      </c>
      <c r="B29" s="13" t="s">
        <v>32</v>
      </c>
      <c r="C29" s="13" t="s">
        <v>33</v>
      </c>
      <c r="D29" s="14">
        <v>0</v>
      </c>
      <c r="E29" s="14">
        <v>0.534667</v>
      </c>
      <c r="F29" s="14">
        <v>0.51049299999999997</v>
      </c>
      <c r="G29" s="14">
        <v>3.0840299999999998</v>
      </c>
      <c r="H29" s="14">
        <v>2.0951</v>
      </c>
      <c r="I29" s="14">
        <v>3.2755899999999998</v>
      </c>
      <c r="J29" s="13">
        <v>1.5833133333333331</v>
      </c>
      <c r="K29" s="13">
        <v>1.4237527969329036</v>
      </c>
      <c r="L29" s="25">
        <v>-1.1120703936414806</v>
      </c>
      <c r="M29" s="26">
        <v>-0.73653680301268765</v>
      </c>
      <c r="N29" s="26">
        <v>-0.75351587413520027</v>
      </c>
      <c r="O29" s="26">
        <v>1.0540570455064679</v>
      </c>
      <c r="P29" s="26">
        <v>0.35946315102535703</v>
      </c>
      <c r="Q29" s="27">
        <v>1.1886028742575441</v>
      </c>
      <c r="R29" s="26">
        <v>-0.86737435692978959</v>
      </c>
      <c r="S29" s="27">
        <v>0.86737435692978959</v>
      </c>
      <c r="T29" s="15">
        <f t="shared" si="0"/>
        <v>-3.0160331603307968</v>
      </c>
    </row>
    <row r="30" spans="1:42" x14ac:dyDescent="0.2">
      <c r="A30" s="13" t="s">
        <v>126</v>
      </c>
      <c r="B30" s="13" t="s">
        <v>32</v>
      </c>
      <c r="C30" s="13" t="s">
        <v>33</v>
      </c>
      <c r="D30" s="14">
        <v>1.42916</v>
      </c>
      <c r="E30" s="14">
        <v>0.99392100000000005</v>
      </c>
      <c r="F30" s="14">
        <v>1.41944</v>
      </c>
      <c r="G30" s="14">
        <v>4.8656199999999998</v>
      </c>
      <c r="H30" s="14">
        <v>5.2024999999999997</v>
      </c>
      <c r="I30" s="14">
        <v>7.48698</v>
      </c>
      <c r="J30" s="13">
        <v>3.5662701666666661</v>
      </c>
      <c r="K30" s="13">
        <v>2.6657315513119793</v>
      </c>
      <c r="L30" s="25">
        <v>-0.8016974423455564</v>
      </c>
      <c r="M30" s="26">
        <v>-0.9649693216110401</v>
      </c>
      <c r="N30" s="26">
        <v>-0.80534372097973317</v>
      </c>
      <c r="O30" s="26">
        <v>0.48742711271652223</v>
      </c>
      <c r="P30" s="26">
        <v>0.61380142817758188</v>
      </c>
      <c r="Q30" s="27">
        <v>1.4707819440422267</v>
      </c>
      <c r="R30" s="26">
        <v>-0.85733682831211</v>
      </c>
      <c r="S30" s="27">
        <v>0.85733682831211022</v>
      </c>
      <c r="T30" s="15">
        <f t="shared" si="0"/>
        <v>-2.1917651647260366</v>
      </c>
    </row>
    <row r="31" spans="1:42" x14ac:dyDescent="0.2">
      <c r="A31" s="13" t="s">
        <v>75</v>
      </c>
      <c r="B31" s="13" t="s">
        <v>32</v>
      </c>
      <c r="C31" s="13" t="s">
        <v>33</v>
      </c>
      <c r="D31" s="14">
        <v>0.33965800000000002</v>
      </c>
      <c r="E31" s="14">
        <v>0.863402</v>
      </c>
      <c r="F31" s="14">
        <v>0.90855399999999997</v>
      </c>
      <c r="G31" s="14">
        <v>1.4641200000000001</v>
      </c>
      <c r="H31" s="14">
        <v>1.5007200000000001</v>
      </c>
      <c r="I31" s="14">
        <v>1.3672599999999999</v>
      </c>
      <c r="J31" s="13">
        <v>1.0739523333333334</v>
      </c>
      <c r="K31" s="13">
        <v>0.4541513087620323</v>
      </c>
      <c r="L31" s="25">
        <v>-1.6168495370737583</v>
      </c>
      <c r="M31" s="26">
        <v>-0.46361274154922288</v>
      </c>
      <c r="N31" s="26">
        <v>-0.36419213187823135</v>
      </c>
      <c r="O31" s="26">
        <v>0.85911382206565001</v>
      </c>
      <c r="P31" s="26">
        <v>0.93970370322170704</v>
      </c>
      <c r="Q31" s="27">
        <v>0.64583688521385463</v>
      </c>
      <c r="R31" s="26">
        <v>-0.81488480350040426</v>
      </c>
      <c r="S31" s="27">
        <v>0.81488480350040382</v>
      </c>
      <c r="T31" s="15">
        <f t="shared" si="0"/>
        <v>-1.0367204095510356</v>
      </c>
    </row>
    <row r="32" spans="1:42" s="32" customFormat="1" x14ac:dyDescent="0.2">
      <c r="A32" s="32" t="s">
        <v>103</v>
      </c>
      <c r="B32" s="32" t="s">
        <v>32</v>
      </c>
      <c r="C32" s="32" t="s">
        <v>33</v>
      </c>
      <c r="D32" s="33">
        <v>16.475000000000001</v>
      </c>
      <c r="E32" s="33">
        <v>18.508700000000001</v>
      </c>
      <c r="F32" s="33">
        <v>19.3369</v>
      </c>
      <c r="G32" s="33">
        <v>30.0977</v>
      </c>
      <c r="H32" s="33">
        <v>29.308399999999999</v>
      </c>
      <c r="I32" s="33">
        <v>42.551299999999998</v>
      </c>
      <c r="J32" s="32">
        <v>26.046333333333333</v>
      </c>
      <c r="K32" s="32">
        <v>9.9288610542532432</v>
      </c>
      <c r="L32" s="34">
        <v>-0.96399106413451552</v>
      </c>
      <c r="M32" s="35">
        <v>-0.75916394560727818</v>
      </c>
      <c r="N32" s="35">
        <v>-0.67575055151559416</v>
      </c>
      <c r="O32" s="35">
        <v>0.40803941605479266</v>
      </c>
      <c r="P32" s="35">
        <v>0.32854389328666139</v>
      </c>
      <c r="Q32" s="36">
        <v>1.662322251915934</v>
      </c>
      <c r="R32" s="35">
        <v>-0.79963518708579606</v>
      </c>
      <c r="S32" s="36">
        <v>0.79963518708579606</v>
      </c>
      <c r="T32" s="31">
        <f t="shared" si="0"/>
        <v>-0.90839516887763849</v>
      </c>
    </row>
    <row r="33" spans="1:20" x14ac:dyDescent="0.2">
      <c r="A33" s="13" t="s">
        <v>78</v>
      </c>
      <c r="B33" s="13" t="s">
        <v>32</v>
      </c>
      <c r="C33" s="13" t="s">
        <v>33</v>
      </c>
      <c r="D33" s="14">
        <v>0.13389300000000001</v>
      </c>
      <c r="E33" s="14">
        <v>0.134104</v>
      </c>
      <c r="F33" s="14">
        <v>0.15975400000000001</v>
      </c>
      <c r="G33" s="14">
        <v>0.59406700000000001</v>
      </c>
      <c r="H33" s="14">
        <v>0.80117400000000005</v>
      </c>
      <c r="I33" s="14">
        <v>1.33643</v>
      </c>
      <c r="J33" s="13">
        <v>0.52657033333333336</v>
      </c>
      <c r="K33" s="13">
        <v>0.48551316908305042</v>
      </c>
      <c r="L33" s="25">
        <v>-0.80878822313914023</v>
      </c>
      <c r="M33" s="26">
        <v>-0.8083536314258023</v>
      </c>
      <c r="N33" s="26">
        <v>-0.75552293262427828</v>
      </c>
      <c r="O33" s="26">
        <v>0.13902128915296399</v>
      </c>
      <c r="P33" s="26">
        <v>0.56559468239613042</v>
      </c>
      <c r="Q33" s="27">
        <v>1.6680488156401263</v>
      </c>
      <c r="R33" s="26">
        <v>-0.79088826239640697</v>
      </c>
      <c r="S33" s="27">
        <v>0.79088826239640697</v>
      </c>
      <c r="T33" s="15">
        <f t="shared" si="0"/>
        <v>-2.6749406046204465</v>
      </c>
    </row>
    <row r="34" spans="1:20" x14ac:dyDescent="0.2">
      <c r="A34" s="48" t="s">
        <v>84</v>
      </c>
      <c r="B34" s="48" t="s">
        <v>32</v>
      </c>
      <c r="C34" s="48" t="s">
        <v>33</v>
      </c>
      <c r="D34" s="49">
        <v>0</v>
      </c>
      <c r="E34" s="49">
        <v>0</v>
      </c>
      <c r="F34" s="49">
        <v>0</v>
      </c>
      <c r="G34" s="49">
        <v>7.1963600000000003E-2</v>
      </c>
      <c r="H34" s="49">
        <v>0.26961200000000002</v>
      </c>
      <c r="I34" s="49">
        <v>0.226878</v>
      </c>
      <c r="J34" s="48">
        <v>9.4742266666666672E-2</v>
      </c>
      <c r="K34" s="48">
        <v>0.12287101740779503</v>
      </c>
      <c r="L34" s="50">
        <v>-0.77107090561664182</v>
      </c>
      <c r="M34" s="51">
        <v>-0.77107090561664182</v>
      </c>
      <c r="N34" s="51">
        <v>-0.77107090561664182</v>
      </c>
      <c r="O34" s="51">
        <v>-0.18538681576198598</v>
      </c>
      <c r="P34" s="51">
        <v>1.4231975694720622</v>
      </c>
      <c r="Q34" s="52">
        <v>1.075401963139849</v>
      </c>
      <c r="R34" s="51">
        <v>-0.77107090561664171</v>
      </c>
      <c r="S34" s="52">
        <v>0.77107090561664171</v>
      </c>
      <c r="T34" s="15">
        <v>-1</v>
      </c>
    </row>
    <row r="35" spans="1:20" x14ac:dyDescent="0.2">
      <c r="A35" t="s">
        <v>133</v>
      </c>
      <c r="B35" t="s">
        <v>32</v>
      </c>
      <c r="C35" t="s">
        <v>33</v>
      </c>
      <c r="D35" s="8">
        <v>22.056999999999999</v>
      </c>
      <c r="E35" s="8">
        <v>22.926300000000001</v>
      </c>
      <c r="F35" s="8">
        <v>19.954000000000001</v>
      </c>
      <c r="G35" s="8">
        <v>37.827500000000001</v>
      </c>
      <c r="H35" s="8">
        <v>35.433599999999998</v>
      </c>
      <c r="I35" s="8">
        <v>25.4956</v>
      </c>
      <c r="J35">
        <v>27.28233333333333</v>
      </c>
      <c r="K35">
        <v>7.4942605851856179</v>
      </c>
      <c r="L35" s="2">
        <v>-0.69724468130486161</v>
      </c>
      <c r="M35" s="3">
        <v>-0.5812492485174825</v>
      </c>
      <c r="N35" s="3">
        <v>-0.97785942322578334</v>
      </c>
      <c r="O35" s="3">
        <v>1.407099012211021</v>
      </c>
      <c r="P35" s="3">
        <v>1.0876678991893871</v>
      </c>
      <c r="Q35" s="4">
        <v>-0.23841355835227829</v>
      </c>
      <c r="R35" s="3">
        <v>-0.75211778434937582</v>
      </c>
      <c r="S35" s="4">
        <v>0.75211778434937659</v>
      </c>
      <c r="T35" s="31">
        <f t="shared" si="0"/>
        <v>-0.60483122829995162</v>
      </c>
    </row>
    <row r="36" spans="1:20" x14ac:dyDescent="0.2">
      <c r="A36" t="s">
        <v>136</v>
      </c>
      <c r="B36" t="s">
        <v>32</v>
      </c>
      <c r="C36" t="s">
        <v>33</v>
      </c>
      <c r="D36" s="8">
        <v>1.97536</v>
      </c>
      <c r="E36" s="8">
        <v>1.6352100000000001</v>
      </c>
      <c r="F36" s="8">
        <v>1.2764800000000001</v>
      </c>
      <c r="G36" s="8">
        <v>2.0107200000000001</v>
      </c>
      <c r="H36" s="8">
        <v>2.5156399999999999</v>
      </c>
      <c r="I36" s="8">
        <v>2.2500300000000002</v>
      </c>
      <c r="J36">
        <v>1.9439066666666669</v>
      </c>
      <c r="K36">
        <v>0.43972623772827824</v>
      </c>
      <c r="L36" s="2">
        <v>7.1529353117130101E-2</v>
      </c>
      <c r="M36" s="3">
        <v>-0.70202012111322087</v>
      </c>
      <c r="N36" s="3">
        <v>-1.5178231576872436</v>
      </c>
      <c r="O36" s="3">
        <v>0.151943021818542</v>
      </c>
      <c r="P36" s="3">
        <v>1.300202908716642</v>
      </c>
      <c r="Q36" s="4">
        <v>0.69616799514814787</v>
      </c>
      <c r="R36" s="3">
        <v>-0.71610464189444478</v>
      </c>
      <c r="S36" s="4">
        <v>0.71610464189444389</v>
      </c>
      <c r="T36" s="31">
        <f t="shared" si="0"/>
        <v>-0.4715530431045325</v>
      </c>
    </row>
    <row r="37" spans="1:20" x14ac:dyDescent="0.2">
      <c r="A37" t="s">
        <v>48</v>
      </c>
      <c r="B37" t="s">
        <v>32</v>
      </c>
      <c r="C37" t="s">
        <v>33</v>
      </c>
      <c r="D37" s="8">
        <v>0.111417</v>
      </c>
      <c r="E37" s="8">
        <v>5.6367199999999999E-2</v>
      </c>
      <c r="F37" s="8">
        <v>0</v>
      </c>
      <c r="G37" s="8">
        <v>0.19472</v>
      </c>
      <c r="H37" s="8">
        <v>6.6940200000000005E-2</v>
      </c>
      <c r="I37" s="8">
        <v>6.8131800000000006E-2</v>
      </c>
      <c r="J37">
        <v>8.2929366666666671E-2</v>
      </c>
      <c r="K37">
        <v>6.5369933360396384E-2</v>
      </c>
      <c r="L37" s="2">
        <v>0.43579107196386152</v>
      </c>
      <c r="M37" s="3">
        <v>-0.40633614417540542</v>
      </c>
      <c r="N37" s="3">
        <v>-1.2686163562300412</v>
      </c>
      <c r="O37" s="3">
        <v>1.7101231037977529</v>
      </c>
      <c r="P37" s="3">
        <v>-0.24459511957149274</v>
      </c>
      <c r="Q37" s="4">
        <v>-0.22636655578467513</v>
      </c>
      <c r="R37" s="3">
        <v>-0.41305380948052833</v>
      </c>
      <c r="S37" s="4">
        <v>0.41305380948052833</v>
      </c>
      <c r="T37" s="31">
        <f t="shared" si="0"/>
        <v>-0.97494953708674714</v>
      </c>
    </row>
    <row r="38" spans="1:20" x14ac:dyDescent="0.2">
      <c r="A38" t="s">
        <v>113</v>
      </c>
      <c r="B38" t="s">
        <v>32</v>
      </c>
      <c r="C38" t="s">
        <v>33</v>
      </c>
      <c r="D38" s="8">
        <v>8.8905100000000008</v>
      </c>
      <c r="E38" s="8">
        <v>9.4637100000000007</v>
      </c>
      <c r="F38" s="8">
        <v>7.5604300000000002</v>
      </c>
      <c r="G38" s="8">
        <v>8.6770800000000001</v>
      </c>
      <c r="H38" s="8">
        <v>11.7559</v>
      </c>
      <c r="I38" s="8">
        <v>8.69529</v>
      </c>
      <c r="J38">
        <v>9.1738199999999992</v>
      </c>
      <c r="K38">
        <v>1.4078499050111948</v>
      </c>
      <c r="L38" s="2">
        <v>-0.20123594070047232</v>
      </c>
      <c r="M38" s="3">
        <v>0.20590973438869281</v>
      </c>
      <c r="N38" s="3">
        <v>-1.1459957444733213</v>
      </c>
      <c r="O38" s="3">
        <v>-0.35283590831087153</v>
      </c>
      <c r="P38" s="3">
        <v>1.834059149920154</v>
      </c>
      <c r="Q38" s="4">
        <v>-0.33990129082417642</v>
      </c>
      <c r="R38" s="3">
        <v>-0.38044065026170032</v>
      </c>
      <c r="S38" s="4">
        <v>0.38044065026170193</v>
      </c>
      <c r="T38" s="31">
        <f t="shared" si="0"/>
        <v>-0.16865210979928896</v>
      </c>
    </row>
    <row r="39" spans="1:20" x14ac:dyDescent="0.2">
      <c r="A39" t="s">
        <v>40</v>
      </c>
      <c r="B39" t="s">
        <v>32</v>
      </c>
      <c r="C39" t="s">
        <v>33</v>
      </c>
      <c r="D39" s="8">
        <v>5.7403000000000003E-2</v>
      </c>
      <c r="E39" s="8">
        <v>0.174042</v>
      </c>
      <c r="F39" s="8">
        <v>0.113692</v>
      </c>
      <c r="G39" s="8">
        <v>0.19967499999999999</v>
      </c>
      <c r="H39" s="8">
        <v>0.20693700000000001</v>
      </c>
      <c r="I39" s="8">
        <v>0</v>
      </c>
      <c r="J39">
        <v>0.12529150000000003</v>
      </c>
      <c r="K39">
        <v>8.3686152734487679E-2</v>
      </c>
      <c r="L39" s="2">
        <v>-0.81122739881938277</v>
      </c>
      <c r="M39" s="3">
        <v>0.58253962462190634</v>
      </c>
      <c r="N39" s="3">
        <v>-0.13860716045582758</v>
      </c>
      <c r="O39" s="3">
        <v>0.88883880510073887</v>
      </c>
      <c r="P39" s="3">
        <v>0.97561540747413611</v>
      </c>
      <c r="Q39" s="4">
        <v>-1.4971592779215728</v>
      </c>
      <c r="R39" s="3">
        <v>-0.12243164488443466</v>
      </c>
      <c r="S39" s="4">
        <v>0.12243164488443403</v>
      </c>
      <c r="T39" s="31">
        <f t="shared" si="0"/>
        <v>-0.23648364839993946</v>
      </c>
    </row>
    <row r="40" spans="1:20" x14ac:dyDescent="0.2">
      <c r="A40" t="s">
        <v>35</v>
      </c>
      <c r="B40" t="s">
        <v>32</v>
      </c>
      <c r="C40" t="s">
        <v>33</v>
      </c>
      <c r="D40" s="8">
        <v>35.6599</v>
      </c>
      <c r="E40" s="8">
        <v>38.036000000000001</v>
      </c>
      <c r="F40" s="8">
        <v>39.009900000000002</v>
      </c>
      <c r="G40" s="8">
        <v>27.881799999999998</v>
      </c>
      <c r="H40" s="8">
        <v>33.825299999999999</v>
      </c>
      <c r="I40" s="8">
        <v>29.419799999999999</v>
      </c>
      <c r="J40">
        <v>33.972116666666672</v>
      </c>
      <c r="K40">
        <v>4.5294617894035181</v>
      </c>
      <c r="L40" s="2">
        <v>0.37262337377077015</v>
      </c>
      <c r="M40" s="3">
        <v>0.89721108650052206</v>
      </c>
      <c r="N40" s="3">
        <v>1.1122255949082092</v>
      </c>
      <c r="O40" s="3">
        <v>-1.3446005176409057</v>
      </c>
      <c r="P40" s="3">
        <v>-3.2413711273631796E-2</v>
      </c>
      <c r="Q40" s="4">
        <v>-1.0050458262649711</v>
      </c>
      <c r="R40" s="3">
        <v>0.79402001839316705</v>
      </c>
      <c r="S40" s="4">
        <v>-0.79402001839316949</v>
      </c>
      <c r="T40" s="31">
        <f t="shared" si="0"/>
        <v>0.30661286542655702</v>
      </c>
    </row>
    <row r="41" spans="1:20" ht="16" thickBot="1" x14ac:dyDescent="0.25">
      <c r="A41" t="s">
        <v>124</v>
      </c>
      <c r="B41" t="s">
        <v>32</v>
      </c>
      <c r="C41" t="s">
        <v>33</v>
      </c>
      <c r="D41" s="8">
        <v>51.635199999999998</v>
      </c>
      <c r="E41" s="8">
        <v>51.3902</v>
      </c>
      <c r="F41" s="8">
        <v>47.875799999999998</v>
      </c>
      <c r="G41" s="8">
        <v>34.254100000000001</v>
      </c>
      <c r="H41" s="8">
        <v>40.046399999999998</v>
      </c>
      <c r="I41" s="8">
        <v>25.808299999999999</v>
      </c>
      <c r="J41">
        <v>41.835000000000001</v>
      </c>
      <c r="K41">
        <v>10.405395517518787</v>
      </c>
      <c r="L41" s="5">
        <v>0.94183829759283366</v>
      </c>
      <c r="M41" s="6">
        <v>0.91829282067295015</v>
      </c>
      <c r="N41" s="6">
        <v>0.58054496725564675</v>
      </c>
      <c r="O41" s="6">
        <v>-0.72855471829365881</v>
      </c>
      <c r="P41" s="6">
        <v>-0.17189159191389411</v>
      </c>
      <c r="Q41" s="7">
        <v>-1.5402297753138787</v>
      </c>
      <c r="R41" s="6">
        <v>0.81355869517381019</v>
      </c>
      <c r="S41" s="7">
        <v>-0.81355869517381052</v>
      </c>
      <c r="T41" s="31">
        <f t="shared" si="0"/>
        <v>0.59203547961042391</v>
      </c>
    </row>
    <row r="42" spans="1:20" x14ac:dyDescent="0.2">
      <c r="A42" s="13" t="s">
        <v>97</v>
      </c>
      <c r="B42" s="13" t="s">
        <v>43</v>
      </c>
      <c r="C42" s="13" t="s">
        <v>44</v>
      </c>
      <c r="D42" s="14">
        <v>1.9634199999999999</v>
      </c>
      <c r="E42" s="14">
        <v>1.6151800000000001</v>
      </c>
      <c r="F42" s="14">
        <v>1.4686900000000001</v>
      </c>
      <c r="G42" s="14">
        <v>5.7726899999999999</v>
      </c>
      <c r="H42" s="14">
        <v>5.4806999999999997</v>
      </c>
      <c r="I42" s="14">
        <v>6.2581199999999999</v>
      </c>
      <c r="J42" s="13">
        <v>3.7597999999999998</v>
      </c>
      <c r="K42" s="13">
        <v>2.2947935360463259</v>
      </c>
      <c r="L42" s="22">
        <v>-0.78280680670513081</v>
      </c>
      <c r="M42" s="23">
        <v>-0.93455902080626463</v>
      </c>
      <c r="N42" s="23">
        <v>-0.9983948289950858</v>
      </c>
      <c r="O42" s="23">
        <v>0.87715516380091685</v>
      </c>
      <c r="P42" s="23">
        <v>0.74991495878314141</v>
      </c>
      <c r="Q42" s="24">
        <v>1.0886905339224233</v>
      </c>
      <c r="R42" s="23">
        <v>-0.90525355216882708</v>
      </c>
      <c r="S42" s="24">
        <v>0.90525355216882719</v>
      </c>
      <c r="T42" s="15">
        <f t="shared" si="0"/>
        <v>-1.7947226048390816</v>
      </c>
    </row>
    <row r="43" spans="1:20" x14ac:dyDescent="0.2">
      <c r="A43" s="53" t="s">
        <v>137</v>
      </c>
      <c r="B43" s="53" t="s">
        <v>43</v>
      </c>
      <c r="C43" s="53" t="s">
        <v>44</v>
      </c>
      <c r="D43" s="54">
        <v>56.096499999999999</v>
      </c>
      <c r="E43" s="54">
        <v>48.653700000000001</v>
      </c>
      <c r="F43" s="54">
        <v>47.191000000000003</v>
      </c>
      <c r="G43" s="54">
        <v>144.86600000000001</v>
      </c>
      <c r="H43" s="54">
        <v>176.375</v>
      </c>
      <c r="I43" s="54">
        <v>153.083</v>
      </c>
      <c r="J43" s="53">
        <v>104.37753333333335</v>
      </c>
      <c r="K43" s="53">
        <v>59.835903934733572</v>
      </c>
      <c r="L43" s="25">
        <v>-0.80689068198913183</v>
      </c>
      <c r="M43" s="26">
        <v>-0.93127753855134376</v>
      </c>
      <c r="N43" s="26">
        <v>-0.95572272787438717</v>
      </c>
      <c r="O43" s="26">
        <v>0.67665839411116346</v>
      </c>
      <c r="P43" s="26">
        <v>1.2032485837466145</v>
      </c>
      <c r="Q43" s="27">
        <v>0.8139839705570836</v>
      </c>
      <c r="R43" s="26">
        <v>-0.89796364947162088</v>
      </c>
      <c r="S43" s="27">
        <v>0.89796364947162044</v>
      </c>
      <c r="T43" s="15">
        <f t="shared" si="0"/>
        <v>-1.6423597477103409</v>
      </c>
    </row>
    <row r="44" spans="1:20" x14ac:dyDescent="0.2">
      <c r="A44" s="13" t="s">
        <v>86</v>
      </c>
      <c r="B44" s="13" t="s">
        <v>43</v>
      </c>
      <c r="C44" s="13" t="s">
        <v>44</v>
      </c>
      <c r="D44" s="14">
        <v>0.38749499999999998</v>
      </c>
      <c r="E44" s="14">
        <v>0.370782</v>
      </c>
      <c r="F44" s="14">
        <v>0.240893</v>
      </c>
      <c r="G44" s="14">
        <v>0.81249700000000002</v>
      </c>
      <c r="H44" s="14">
        <v>0.81036299999999994</v>
      </c>
      <c r="I44" s="14">
        <v>0.68848500000000001</v>
      </c>
      <c r="J44" s="13">
        <v>0.55175249999999998</v>
      </c>
      <c r="K44" s="13">
        <v>0.24896880867429977</v>
      </c>
      <c r="L44" s="25">
        <v>-0.65975131935053422</v>
      </c>
      <c r="M44" s="26">
        <v>-0.72688021027061678</v>
      </c>
      <c r="N44" s="26">
        <v>-1.2485881330085224</v>
      </c>
      <c r="O44" s="26">
        <v>1.047297857865823</v>
      </c>
      <c r="P44" s="26">
        <v>1.0387265030388342</v>
      </c>
      <c r="Q44" s="27">
        <v>0.54919530172501674</v>
      </c>
      <c r="R44" s="26">
        <v>-0.878406554209891</v>
      </c>
      <c r="S44" s="27">
        <v>0.87840655420989133</v>
      </c>
      <c r="T44" s="15">
        <f t="shared" si="0"/>
        <v>-1.2099305520319368</v>
      </c>
    </row>
    <row r="45" spans="1:20" x14ac:dyDescent="0.2">
      <c r="A45" s="53" t="s">
        <v>112</v>
      </c>
      <c r="B45" s="53" t="s">
        <v>43</v>
      </c>
      <c r="C45" s="53" t="s">
        <v>44</v>
      </c>
      <c r="D45" s="54">
        <v>116.699</v>
      </c>
      <c r="E45" s="54">
        <v>126.247</v>
      </c>
      <c r="F45" s="54">
        <v>104.76300000000001</v>
      </c>
      <c r="G45" s="54">
        <v>185.827</v>
      </c>
      <c r="H45" s="54">
        <v>278.22500000000002</v>
      </c>
      <c r="I45" s="54">
        <v>279.32900000000001</v>
      </c>
      <c r="J45" s="53">
        <v>181.84833333333336</v>
      </c>
      <c r="K45" s="53">
        <v>80.106010457809333</v>
      </c>
      <c r="L45" s="25">
        <v>-0.81328895248935862</v>
      </c>
      <c r="M45" s="26">
        <v>-0.69409689754325954</v>
      </c>
      <c r="N45" s="26">
        <v>-0.96229150462976898</v>
      </c>
      <c r="O45" s="26">
        <v>4.9667517380136493E-2</v>
      </c>
      <c r="P45" s="26">
        <v>1.2031140499429422</v>
      </c>
      <c r="Q45" s="27">
        <v>1.2168957873393069</v>
      </c>
      <c r="R45" s="26">
        <v>-0.82322578488746245</v>
      </c>
      <c r="S45" s="27">
        <v>0.8232257848874619</v>
      </c>
      <c r="T45" s="15">
        <f t="shared" si="0"/>
        <v>-1.0962214051204873</v>
      </c>
    </row>
    <row r="46" spans="1:20" x14ac:dyDescent="0.2">
      <c r="A46" s="13" t="s">
        <v>46</v>
      </c>
      <c r="B46" s="13" t="s">
        <v>43</v>
      </c>
      <c r="C46" s="13" t="s">
        <v>44</v>
      </c>
      <c r="D46" s="14">
        <v>4.2883199999999997</v>
      </c>
      <c r="E46" s="14">
        <v>5.56501</v>
      </c>
      <c r="F46" s="14">
        <v>6.56447</v>
      </c>
      <c r="G46" s="14">
        <v>9.6644699999999997</v>
      </c>
      <c r="H46" s="14">
        <v>14.976800000000001</v>
      </c>
      <c r="I46" s="14">
        <v>19.035499999999999</v>
      </c>
      <c r="J46" s="13">
        <v>10.015761666666668</v>
      </c>
      <c r="K46" s="13">
        <v>5.8414926070908173</v>
      </c>
      <c r="L46" s="25">
        <v>-0.98047571946154555</v>
      </c>
      <c r="M46" s="26">
        <v>-0.76192027723599798</v>
      </c>
      <c r="N46" s="26">
        <v>-0.59082359574969689</v>
      </c>
      <c r="O46" s="26">
        <v>-6.0137312549235385E-2</v>
      </c>
      <c r="P46" s="26">
        <v>0.8492758044940899</v>
      </c>
      <c r="Q46" s="27">
        <v>1.5440811005023842</v>
      </c>
      <c r="R46" s="26">
        <v>-0.77773986414908014</v>
      </c>
      <c r="S46" s="27">
        <v>0.77773986414907947</v>
      </c>
      <c r="T46" s="15">
        <f t="shared" si="0"/>
        <v>-1.4116053518755349</v>
      </c>
    </row>
    <row r="47" spans="1:20" x14ac:dyDescent="0.2">
      <c r="A47" s="13" t="s">
        <v>117</v>
      </c>
      <c r="B47" s="13" t="s">
        <v>43</v>
      </c>
      <c r="C47" s="13" t="s">
        <v>44</v>
      </c>
      <c r="D47" s="14">
        <v>7.97678E-2</v>
      </c>
      <c r="E47" s="14">
        <v>0.106519</v>
      </c>
      <c r="F47" s="14">
        <v>0.13208</v>
      </c>
      <c r="G47" s="14">
        <v>0.155191</v>
      </c>
      <c r="H47" s="14">
        <v>0.25455699999999998</v>
      </c>
      <c r="I47" s="14">
        <v>0.35592800000000002</v>
      </c>
      <c r="J47" s="13">
        <v>0.1806738</v>
      </c>
      <c r="K47" s="13">
        <v>0.10475156089834654</v>
      </c>
      <c r="L47" s="25">
        <v>-0.96328874848864188</v>
      </c>
      <c r="M47" s="26">
        <v>-0.70791116966707168</v>
      </c>
      <c r="N47" s="26">
        <v>-0.46389571270595764</v>
      </c>
      <c r="O47" s="26">
        <v>-0.2432689287057892</v>
      </c>
      <c r="P47" s="26">
        <v>0.70531836820740101</v>
      </c>
      <c r="Q47" s="27">
        <v>1.6730461913600596</v>
      </c>
      <c r="R47" s="26">
        <v>-0.71169854362055707</v>
      </c>
      <c r="S47" s="27">
        <v>0.71169854362055718</v>
      </c>
      <c r="T47" s="15">
        <f t="shared" si="0"/>
        <v>-1.2660441406885174</v>
      </c>
    </row>
    <row r="48" spans="1:20" x14ac:dyDescent="0.2">
      <c r="A48" t="s">
        <v>93</v>
      </c>
      <c r="B48" t="s">
        <v>43</v>
      </c>
      <c r="C48" t="s">
        <v>44</v>
      </c>
      <c r="D48" s="8">
        <v>71.656700000000001</v>
      </c>
      <c r="E48" s="8">
        <v>72.581400000000002</v>
      </c>
      <c r="F48" s="8">
        <v>59.361199999999997</v>
      </c>
      <c r="G48" s="8">
        <v>77.393299999999996</v>
      </c>
      <c r="H48" s="8">
        <v>86.982299999999995</v>
      </c>
      <c r="I48" s="8">
        <v>76.663700000000006</v>
      </c>
      <c r="J48">
        <v>74.106433333333328</v>
      </c>
      <c r="K48">
        <v>9.043006953810611</v>
      </c>
      <c r="L48" s="2">
        <v>-0.27089809239846269</v>
      </c>
      <c r="M48" s="3">
        <v>-0.16864228249771451</v>
      </c>
      <c r="N48" s="3">
        <v>-1.6305675101930419</v>
      </c>
      <c r="O48" s="3">
        <v>0.36347054508032017</v>
      </c>
      <c r="P48" s="3">
        <v>1.4238479227576992</v>
      </c>
      <c r="Q48" s="4">
        <v>0.28278941725120282</v>
      </c>
      <c r="R48" s="3">
        <v>-0.69003596169640635</v>
      </c>
      <c r="S48" s="4">
        <v>0.69003596169640735</v>
      </c>
      <c r="T48" s="31">
        <f t="shared" si="0"/>
        <v>-0.24353578707864593</v>
      </c>
    </row>
    <row r="49" spans="1:20" x14ac:dyDescent="0.2">
      <c r="A49" s="13" t="s">
        <v>127</v>
      </c>
      <c r="B49" s="13" t="s">
        <v>43</v>
      </c>
      <c r="C49" s="13" t="s">
        <v>44</v>
      </c>
      <c r="D49" s="14">
        <v>0.65352399999999999</v>
      </c>
      <c r="E49" s="14">
        <v>0.70284599999999997</v>
      </c>
      <c r="F49" s="14">
        <v>0.69999599999999995</v>
      </c>
      <c r="G49" s="14">
        <v>1.4902</v>
      </c>
      <c r="H49" s="14">
        <v>2.0226899999999999</v>
      </c>
      <c r="I49" s="14">
        <v>5.1036299999999999</v>
      </c>
      <c r="J49" s="13">
        <v>1.7788143333333333</v>
      </c>
      <c r="K49" s="13">
        <v>1.7195934389544139</v>
      </c>
      <c r="L49" s="25">
        <v>-0.65439324659063469</v>
      </c>
      <c r="M49" s="26">
        <v>-0.62571088546811859</v>
      </c>
      <c r="N49" s="26">
        <v>-0.62736825396897367</v>
      </c>
      <c r="O49" s="26">
        <v>-0.16783870349541641</v>
      </c>
      <c r="P49" s="26">
        <v>0.14182170107310563</v>
      </c>
      <c r="Q49" s="27">
        <v>1.9334893884500377</v>
      </c>
      <c r="R49" s="26">
        <v>-0.63582412867590898</v>
      </c>
      <c r="S49" s="27">
        <v>0.63582412867590898</v>
      </c>
      <c r="T49" s="15">
        <f t="shared" si="0"/>
        <v>-2.0670082541390804</v>
      </c>
    </row>
    <row r="50" spans="1:20" x14ac:dyDescent="0.2">
      <c r="A50" t="s">
        <v>116</v>
      </c>
      <c r="B50" t="s">
        <v>43</v>
      </c>
      <c r="C50" t="s">
        <v>44</v>
      </c>
      <c r="D50" s="8">
        <v>11.511699999999999</v>
      </c>
      <c r="E50" s="8">
        <v>7.1813900000000004</v>
      </c>
      <c r="F50" s="8">
        <v>9.7553599999999996</v>
      </c>
      <c r="G50" s="8">
        <v>20.985499999999998</v>
      </c>
      <c r="H50" s="8">
        <v>14.9787</v>
      </c>
      <c r="I50" s="8">
        <v>7.2310499999999998</v>
      </c>
      <c r="J50">
        <v>11.940616666666665</v>
      </c>
      <c r="K50">
        <v>5.3071543733442175</v>
      </c>
      <c r="L50" s="2">
        <v>-8.0818577432182556E-2</v>
      </c>
      <c r="M50" s="3">
        <v>-0.89675677997429637</v>
      </c>
      <c r="N50" s="3">
        <v>-0.41175675568104148</v>
      </c>
      <c r="O50" s="3">
        <v>1.7042811829183415</v>
      </c>
      <c r="P50" s="3">
        <v>0.57245052990967271</v>
      </c>
      <c r="Q50" s="4">
        <v>-0.88739959974049298</v>
      </c>
      <c r="R50" s="3">
        <v>-0.46311070436250684</v>
      </c>
      <c r="S50" s="4">
        <v>0.46311070436250706</v>
      </c>
      <c r="T50" s="31">
        <f t="shared" si="0"/>
        <v>-0.6025226238704976</v>
      </c>
    </row>
    <row r="51" spans="1:20" x14ac:dyDescent="0.2">
      <c r="A51" t="s">
        <v>147</v>
      </c>
      <c r="B51" t="s">
        <v>43</v>
      </c>
      <c r="C51" t="s">
        <v>44</v>
      </c>
      <c r="D51" s="8">
        <v>6.6310799999999999</v>
      </c>
      <c r="E51" s="8">
        <v>2.4511099999999999</v>
      </c>
      <c r="F51" s="8">
        <v>22.292000000000002</v>
      </c>
      <c r="G51" s="8">
        <v>21.9148</v>
      </c>
      <c r="H51" s="8">
        <v>14.4725</v>
      </c>
      <c r="I51" s="8">
        <v>14.1515</v>
      </c>
      <c r="J51">
        <v>13.652164999999998</v>
      </c>
      <c r="K51">
        <v>7.9824737846754044</v>
      </c>
      <c r="L51" s="2">
        <v>-0.87956255033106889</v>
      </c>
      <c r="M51" s="3">
        <v>-1.4032059862825434</v>
      </c>
      <c r="N51" s="3">
        <v>1.0823505636293587</v>
      </c>
      <c r="O51" s="3">
        <v>1.0350970417043455</v>
      </c>
      <c r="P51" s="3">
        <v>0.10276701460327559</v>
      </c>
      <c r="Q51" s="4">
        <v>6.2553916676634194E-2</v>
      </c>
      <c r="R51" s="3">
        <v>-0.40013932432808447</v>
      </c>
      <c r="S51" s="4">
        <v>0.40013932432808508</v>
      </c>
      <c r="T51" s="31">
        <f t="shared" si="0"/>
        <v>-0.68781319623626658</v>
      </c>
    </row>
    <row r="52" spans="1:20" x14ac:dyDescent="0.2">
      <c r="A52" t="s">
        <v>138</v>
      </c>
      <c r="B52" t="s">
        <v>43</v>
      </c>
      <c r="C52" t="s">
        <v>44</v>
      </c>
      <c r="D52" s="8">
        <v>6.3225400000000001E-2</v>
      </c>
      <c r="E52" s="8">
        <v>3.15613E-2</v>
      </c>
      <c r="F52" s="8">
        <v>6.28909E-2</v>
      </c>
      <c r="G52" s="8">
        <v>3.6999600000000001E-2</v>
      </c>
      <c r="H52" s="8">
        <v>0.113328</v>
      </c>
      <c r="I52" s="8">
        <v>5.7775199999999999E-2</v>
      </c>
      <c r="J52">
        <v>6.0963400000000001E-2</v>
      </c>
      <c r="K52">
        <v>2.8982046330443944E-2</v>
      </c>
      <c r="L52" s="2">
        <v>7.8048319094152482E-2</v>
      </c>
      <c r="M52" s="3">
        <v>-1.0144935821565786</v>
      </c>
      <c r="N52" s="3">
        <v>6.6506691005295673E-2</v>
      </c>
      <c r="O52" s="3">
        <v>-0.82684982719206512</v>
      </c>
      <c r="P52" s="3">
        <v>1.8067944341457369</v>
      </c>
      <c r="Q52" s="4">
        <v>-0.11000603489654161</v>
      </c>
      <c r="R52" s="3">
        <v>-0.28997952401904348</v>
      </c>
      <c r="S52" s="4">
        <v>0.28997952401904342</v>
      </c>
      <c r="T52" s="31">
        <f t="shared" si="0"/>
        <v>-0.40031865400666433</v>
      </c>
    </row>
    <row r="53" spans="1:20" x14ac:dyDescent="0.2">
      <c r="A53" t="s">
        <v>87</v>
      </c>
      <c r="B53" t="s">
        <v>43</v>
      </c>
      <c r="C53" t="s">
        <v>44</v>
      </c>
      <c r="D53" s="8">
        <v>0</v>
      </c>
      <c r="E53" s="8">
        <v>0</v>
      </c>
      <c r="F53" s="8">
        <v>8.3892400000000006E-2</v>
      </c>
      <c r="G53" s="8">
        <v>0</v>
      </c>
      <c r="H53" s="8">
        <v>4.0323400000000002E-2</v>
      </c>
      <c r="I53" s="8">
        <v>0.12331</v>
      </c>
      <c r="J53">
        <v>4.1254300000000001E-2</v>
      </c>
      <c r="K53">
        <v>5.2264259019678072E-2</v>
      </c>
      <c r="L53" s="2">
        <v>-0.78934056990011658</v>
      </c>
      <c r="M53" s="3">
        <v>-0.78934056990011658</v>
      </c>
      <c r="N53" s="3">
        <v>0.81581755485993379</v>
      </c>
      <c r="O53" s="3">
        <v>-0.78934056990011658</v>
      </c>
      <c r="P53" s="3">
        <v>-1.7811407211369902E-2</v>
      </c>
      <c r="Q53" s="4">
        <v>1.5700155620517864</v>
      </c>
      <c r="R53" s="3">
        <v>-0.25428786164676648</v>
      </c>
      <c r="S53" s="4">
        <v>0.25428786164676664</v>
      </c>
      <c r="T53" s="31">
        <f t="shared" si="0"/>
        <v>-0.96385522902868315</v>
      </c>
    </row>
    <row r="54" spans="1:20" x14ac:dyDescent="0.2">
      <c r="A54" t="s">
        <v>135</v>
      </c>
      <c r="B54" t="s">
        <v>43</v>
      </c>
      <c r="C54" t="s">
        <v>44</v>
      </c>
      <c r="D54" s="8">
        <v>16.847899999999999</v>
      </c>
      <c r="E54" s="8">
        <v>16.962</v>
      </c>
      <c r="F54" s="8">
        <v>14.070499999999999</v>
      </c>
      <c r="G54" s="8">
        <v>15.884399999999999</v>
      </c>
      <c r="H54" s="8">
        <v>19.138500000000001</v>
      </c>
      <c r="I54" s="8">
        <v>14.9123</v>
      </c>
      <c r="J54">
        <v>16.302600000000002</v>
      </c>
      <c r="K54">
        <v>1.7812683683263455</v>
      </c>
      <c r="L54" s="2">
        <v>0.30613017650583085</v>
      </c>
      <c r="M54" s="3">
        <v>0.37018565631385508</v>
      </c>
      <c r="N54" s="3">
        <v>-1.2530958499517129</v>
      </c>
      <c r="O54" s="3">
        <v>-0.23477652634282006</v>
      </c>
      <c r="P54" s="3">
        <v>1.592067793054996</v>
      </c>
      <c r="Q54" s="4">
        <v>-0.78051124958015605</v>
      </c>
      <c r="R54" s="3">
        <v>-0.19226000571067567</v>
      </c>
      <c r="S54" s="4">
        <v>0.19226000571067328</v>
      </c>
      <c r="T54" s="31">
        <f t="shared" si="0"/>
        <v>-6.06219446584845E-2</v>
      </c>
    </row>
    <row r="55" spans="1:20" x14ac:dyDescent="0.2">
      <c r="A55" t="s">
        <v>109</v>
      </c>
      <c r="B55" t="s">
        <v>43</v>
      </c>
      <c r="C55" t="s">
        <v>44</v>
      </c>
      <c r="D55" s="8">
        <v>3.5076799999999998E-2</v>
      </c>
      <c r="E55" s="8">
        <v>3.5037499999999999E-2</v>
      </c>
      <c r="F55" s="8">
        <v>1.7442200000000001E-2</v>
      </c>
      <c r="G55" s="8">
        <v>0</v>
      </c>
      <c r="H55" s="8">
        <v>0</v>
      </c>
      <c r="I55" s="8">
        <v>0.106823</v>
      </c>
      <c r="J55">
        <v>3.2396583333333333E-2</v>
      </c>
      <c r="K55">
        <v>3.9689193250274903E-2</v>
      </c>
      <c r="L55" s="2">
        <v>6.7530137228176121E-2</v>
      </c>
      <c r="M55" s="3">
        <v>6.6539943253907649E-2</v>
      </c>
      <c r="N55" s="3">
        <v>-0.37678728411114154</v>
      </c>
      <c r="O55" s="3">
        <v>-0.81625703825836626</v>
      </c>
      <c r="P55" s="3">
        <v>-0.81625703825836626</v>
      </c>
      <c r="Q55" s="4">
        <v>1.8752312801457902</v>
      </c>
      <c r="R55" s="3">
        <v>-8.0905734543019261E-2</v>
      </c>
      <c r="S55" s="4">
        <v>8.0905734543019234E-2</v>
      </c>
      <c r="T55" s="31">
        <f t="shared" si="0"/>
        <v>-0.28693611610657305</v>
      </c>
    </row>
    <row r="56" spans="1:20" x14ac:dyDescent="0.2">
      <c r="A56" t="s">
        <v>42</v>
      </c>
      <c r="B56" t="s">
        <v>43</v>
      </c>
      <c r="C56" t="s">
        <v>44</v>
      </c>
      <c r="D56" s="8">
        <v>21.6858</v>
      </c>
      <c r="E56" s="8">
        <v>22.186800000000002</v>
      </c>
      <c r="F56" s="8">
        <v>22.566500000000001</v>
      </c>
      <c r="G56" s="8">
        <v>20.726099999999999</v>
      </c>
      <c r="H56" s="8">
        <v>28.221800000000002</v>
      </c>
      <c r="I56" s="8">
        <v>18.378599999999999</v>
      </c>
      <c r="J56">
        <v>22.294266666666669</v>
      </c>
      <c r="K56">
        <v>3.2675108358912506</v>
      </c>
      <c r="L56" s="2">
        <v>-0.18621718403596427</v>
      </c>
      <c r="M56" s="3">
        <v>-3.2889459917385254E-2</v>
      </c>
      <c r="N56" s="3">
        <v>8.3315204449529459E-2</v>
      </c>
      <c r="O56" s="3">
        <v>-0.47992699808107442</v>
      </c>
      <c r="P56" s="3">
        <v>1.8140822268203836</v>
      </c>
      <c r="Q56" s="4">
        <v>-1.1983637892354924</v>
      </c>
      <c r="R56" s="3">
        <v>-4.5263813167940016E-2</v>
      </c>
      <c r="S56" s="4">
        <v>4.5263813167938961E-2</v>
      </c>
      <c r="T56" s="31">
        <f t="shared" si="0"/>
        <v>-1.9141937253705121E-2</v>
      </c>
    </row>
    <row r="57" spans="1:20" x14ac:dyDescent="0.2">
      <c r="A57" t="s">
        <v>106</v>
      </c>
      <c r="B57" t="s">
        <v>43</v>
      </c>
      <c r="C57" t="s">
        <v>44</v>
      </c>
      <c r="D57" s="8">
        <v>0.19406499999999999</v>
      </c>
      <c r="E57" s="8">
        <v>0.25330000000000003</v>
      </c>
      <c r="F57" s="8">
        <v>0.103954</v>
      </c>
      <c r="G57" s="8">
        <v>5.2816500000000002E-2</v>
      </c>
      <c r="H57" s="8">
        <v>8.9182200000000003E-2</v>
      </c>
      <c r="I57" s="8">
        <v>0.23647099999999999</v>
      </c>
      <c r="J57">
        <v>0.15496478333333333</v>
      </c>
      <c r="K57">
        <v>8.3911411869671604E-2</v>
      </c>
      <c r="L57" s="2">
        <v>0.465970191603924</v>
      </c>
      <c r="M57" s="3">
        <v>1.1718932440249923</v>
      </c>
      <c r="N57" s="3">
        <v>-0.60791234704239705</v>
      </c>
      <c r="O57" s="3">
        <v>-1.2173348184390773</v>
      </c>
      <c r="P57" s="3">
        <v>-0.78395276479800668</v>
      </c>
      <c r="Q57" s="4">
        <v>0.97133649465056537</v>
      </c>
      <c r="R57" s="3">
        <v>0.34331702952883975</v>
      </c>
      <c r="S57" s="4">
        <v>-0.34331702952883952</v>
      </c>
      <c r="T57" s="31">
        <f t="shared" si="0"/>
        <v>0.54270951785323662</v>
      </c>
    </row>
    <row r="58" spans="1:20" x14ac:dyDescent="0.2">
      <c r="A58" t="s">
        <v>108</v>
      </c>
      <c r="B58" t="s">
        <v>43</v>
      </c>
      <c r="C58" t="s">
        <v>44</v>
      </c>
      <c r="D58" s="8">
        <v>1.2256199999999999</v>
      </c>
      <c r="E58" s="8">
        <v>0.95204599999999995</v>
      </c>
      <c r="F58" s="8">
        <v>1.3544</v>
      </c>
      <c r="G58" s="8">
        <v>0.697102</v>
      </c>
      <c r="H58" s="8">
        <v>0.56964999999999999</v>
      </c>
      <c r="I58" s="8">
        <v>1.0990800000000001</v>
      </c>
      <c r="J58">
        <v>0.98298299999999994</v>
      </c>
      <c r="K58">
        <v>0.30457545143560111</v>
      </c>
      <c r="L58" s="2">
        <v>0.79664004060846882</v>
      </c>
      <c r="M58" s="3">
        <v>-0.10157417432751062</v>
      </c>
      <c r="N58" s="3">
        <v>1.2194580956848122</v>
      </c>
      <c r="O58" s="3">
        <v>-0.93862127972728659</v>
      </c>
      <c r="P58" s="3">
        <v>-1.3570791672532228</v>
      </c>
      <c r="Q58" s="4">
        <v>0.38117648501474011</v>
      </c>
      <c r="R58" s="3">
        <v>0.63817465398859019</v>
      </c>
      <c r="S58" s="4">
        <v>-0.63817465398858986</v>
      </c>
      <c r="T58" s="31">
        <f t="shared" si="0"/>
        <v>0.57816467120605797</v>
      </c>
    </row>
    <row r="59" spans="1:20" s="9" customFormat="1" ht="16" thickBot="1" x14ac:dyDescent="0.25">
      <c r="A59" s="9" t="s">
        <v>128</v>
      </c>
      <c r="B59" s="9" t="s">
        <v>43</v>
      </c>
      <c r="C59" s="9" t="s">
        <v>44</v>
      </c>
      <c r="D59" s="10">
        <v>8.39527</v>
      </c>
      <c r="E59" s="10">
        <v>8.0492600000000003</v>
      </c>
      <c r="F59" s="10">
        <v>9.1499400000000009</v>
      </c>
      <c r="G59" s="10">
        <v>3.5882499999999999</v>
      </c>
      <c r="H59" s="10">
        <v>5.1067999999999998</v>
      </c>
      <c r="I59" s="10">
        <v>3.3683999999999998</v>
      </c>
      <c r="J59" s="9">
        <v>6.2763199999999992</v>
      </c>
      <c r="K59" s="9">
        <v>2.5667276182797449</v>
      </c>
      <c r="L59" s="16">
        <v>0.82554533052484524</v>
      </c>
      <c r="M59" s="17">
        <v>0.69073944090267325</v>
      </c>
      <c r="N59" s="17">
        <v>1.1195656210400464</v>
      </c>
      <c r="O59" s="17">
        <v>-1.0472751299577241</v>
      </c>
      <c r="P59" s="17">
        <v>-0.45564632244999465</v>
      </c>
      <c r="Q59" s="18">
        <v>-1.1329289400598441</v>
      </c>
      <c r="R59" s="17">
        <v>0.87861679748918819</v>
      </c>
      <c r="S59" s="18">
        <v>-0.87861679748918764</v>
      </c>
      <c r="T59" s="15">
        <f t="shared" si="0"/>
        <v>1.0851895724043408</v>
      </c>
    </row>
    <row r="60" spans="1:20" x14ac:dyDescent="0.2">
      <c r="A60" s="13" t="s">
        <v>144</v>
      </c>
      <c r="B60" s="13" t="s">
        <v>26</v>
      </c>
      <c r="C60" s="13" t="s">
        <v>27</v>
      </c>
      <c r="D60" s="14">
        <v>0</v>
      </c>
      <c r="E60" s="14">
        <v>5.3476799999999998E-2</v>
      </c>
      <c r="F60" s="14">
        <v>0</v>
      </c>
      <c r="G60" s="14">
        <v>0.368836</v>
      </c>
      <c r="H60" s="14">
        <v>0.25451699999999999</v>
      </c>
      <c r="I60" s="14">
        <v>0.19281000000000001</v>
      </c>
      <c r="J60" s="13">
        <v>0.14493996666666667</v>
      </c>
      <c r="K60" s="13">
        <v>0.15153138209574499</v>
      </c>
      <c r="L60" s="22">
        <v>-0.95650131782660353</v>
      </c>
      <c r="M60" s="23">
        <v>-0.60359224209329621</v>
      </c>
      <c r="N60" s="23">
        <v>-0.95650131782660353</v>
      </c>
      <c r="O60" s="23">
        <v>1.4775555415436308</v>
      </c>
      <c r="P60" s="23">
        <v>0.72313095688718232</v>
      </c>
      <c r="Q60" s="24">
        <v>0.31590837931568982</v>
      </c>
      <c r="R60" s="23">
        <v>-0.83886495924883453</v>
      </c>
      <c r="S60" s="24">
        <v>0.83886495924883431</v>
      </c>
      <c r="T60" s="15">
        <f t="shared" si="0"/>
        <v>-3.9318722651732578</v>
      </c>
    </row>
    <row r="61" spans="1:20" x14ac:dyDescent="0.2">
      <c r="A61" t="s">
        <v>101</v>
      </c>
      <c r="B61" t="s">
        <v>26</v>
      </c>
      <c r="C61" t="s">
        <v>27</v>
      </c>
      <c r="D61" s="8">
        <v>2.7573599999999998</v>
      </c>
      <c r="E61" s="8">
        <v>3.1240899999999998</v>
      </c>
      <c r="F61" s="8">
        <v>2.5192100000000002</v>
      </c>
      <c r="G61" s="8">
        <v>2.9933700000000001</v>
      </c>
      <c r="H61" s="8">
        <v>3.5869399999999998</v>
      </c>
      <c r="I61" s="8">
        <v>5.7881400000000003</v>
      </c>
      <c r="J61">
        <v>3.4615183333333328</v>
      </c>
      <c r="K61">
        <v>1.1954667431495822</v>
      </c>
      <c r="L61" s="2">
        <v>-0.58902377449510157</v>
      </c>
      <c r="M61" s="3">
        <v>-0.28225656235684377</v>
      </c>
      <c r="N61" s="3">
        <v>-0.78823466962428645</v>
      </c>
      <c r="O61" s="3">
        <v>-0.39160297516930243</v>
      </c>
      <c r="P61" s="3">
        <v>0.10491439212790686</v>
      </c>
      <c r="Q61" s="4">
        <v>1.94620358951763</v>
      </c>
      <c r="R61" s="3">
        <v>-0.55317166882541058</v>
      </c>
      <c r="S61" s="4">
        <v>0.55317166882541147</v>
      </c>
      <c r="T61" s="31">
        <f t="shared" si="0"/>
        <v>-0.55809013158900156</v>
      </c>
    </row>
    <row r="62" spans="1:20" x14ac:dyDescent="0.2">
      <c r="A62" t="s">
        <v>36</v>
      </c>
      <c r="B62" t="s">
        <v>26</v>
      </c>
      <c r="C62" t="s">
        <v>27</v>
      </c>
      <c r="D62" s="8">
        <v>2.0834100000000002</v>
      </c>
      <c r="E62" s="8">
        <v>2.43235</v>
      </c>
      <c r="F62" s="8">
        <v>0.98807299999999998</v>
      </c>
      <c r="G62" s="8">
        <v>1.16028</v>
      </c>
      <c r="H62" s="8">
        <v>1.2287600000000001</v>
      </c>
      <c r="I62" s="8">
        <v>1.47506</v>
      </c>
      <c r="J62">
        <v>1.5613221666666668</v>
      </c>
      <c r="K62">
        <v>0.5724951309453794</v>
      </c>
      <c r="L62" s="2">
        <v>0.91195156973858138</v>
      </c>
      <c r="M62" s="3">
        <v>1.5214589369432319</v>
      </c>
      <c r="N62" s="3">
        <v>-1.0013171041647853</v>
      </c>
      <c r="O62" s="3">
        <v>-0.70051629260918458</v>
      </c>
      <c r="P62" s="3">
        <v>-0.58089955475690469</v>
      </c>
      <c r="Q62" s="4">
        <v>-0.15067755515093953</v>
      </c>
      <c r="R62" s="3">
        <v>0.47736446750567602</v>
      </c>
      <c r="S62" s="4">
        <v>-0.47736446750567629</v>
      </c>
      <c r="T62" s="31">
        <f t="shared" si="0"/>
        <v>0.5103042652249431</v>
      </c>
    </row>
    <row r="63" spans="1:20" ht="16" thickBot="1" x14ac:dyDescent="0.25">
      <c r="A63" t="s">
        <v>25</v>
      </c>
      <c r="B63" t="s">
        <v>26</v>
      </c>
      <c r="C63" t="s">
        <v>27</v>
      </c>
      <c r="D63" s="8">
        <v>6.2714100000000004</v>
      </c>
      <c r="E63" s="8">
        <v>5.3637300000000003</v>
      </c>
      <c r="F63" s="8">
        <v>5.9369899999999998</v>
      </c>
      <c r="G63" s="8">
        <v>3.80355</v>
      </c>
      <c r="H63" s="8">
        <v>3.5497000000000001</v>
      </c>
      <c r="I63" s="8">
        <v>4.1835500000000003</v>
      </c>
      <c r="J63">
        <v>4.8514883333333341</v>
      </c>
      <c r="K63">
        <v>1.1572253164603103</v>
      </c>
      <c r="L63" s="5">
        <v>1.2270053605549216</v>
      </c>
      <c r="M63" s="6">
        <v>0.44264644004980574</v>
      </c>
      <c r="N63" s="6">
        <v>0.93802101563675511</v>
      </c>
      <c r="O63" s="6">
        <v>-0.9055611888432753</v>
      </c>
      <c r="P63" s="6">
        <v>-1.1249221001448613</v>
      </c>
      <c r="Q63" s="7">
        <v>-0.57718952725334904</v>
      </c>
      <c r="R63" s="6">
        <v>0.86922427208049413</v>
      </c>
      <c r="S63" s="7">
        <v>-0.86922427208049535</v>
      </c>
      <c r="T63" s="31">
        <f t="shared" si="0"/>
        <v>0.60704596333195093</v>
      </c>
    </row>
    <row r="64" spans="1:20" x14ac:dyDescent="0.2">
      <c r="A64" s="53" t="s">
        <v>85</v>
      </c>
      <c r="B64" s="53" t="s">
        <v>13</v>
      </c>
      <c r="C64" s="53" t="s">
        <v>14</v>
      </c>
      <c r="D64" s="54">
        <v>9.0401199999999999</v>
      </c>
      <c r="E64" s="54">
        <v>8.5539500000000004</v>
      </c>
      <c r="F64" s="54">
        <v>7.9099300000000001</v>
      </c>
      <c r="G64" s="54">
        <v>33.457799999999999</v>
      </c>
      <c r="H64" s="54">
        <v>39.4084</v>
      </c>
      <c r="I64" s="54">
        <v>46.1128</v>
      </c>
      <c r="J64" s="53">
        <v>24.080500000000001</v>
      </c>
      <c r="K64" s="53">
        <v>17.53325204610827</v>
      </c>
      <c r="L64" s="22">
        <v>-0.85782032679661424</v>
      </c>
      <c r="M64" s="23">
        <v>-0.88554878234618872</v>
      </c>
      <c r="N64" s="23">
        <v>-0.92228013134558606</v>
      </c>
      <c r="O64" s="23">
        <v>0.53482947574927553</v>
      </c>
      <c r="P64" s="23">
        <v>0.87421888191028563</v>
      </c>
      <c r="Q64" s="24">
        <v>1.2566008828288275</v>
      </c>
      <c r="R64" s="23">
        <v>-0.88854974682946297</v>
      </c>
      <c r="S64" s="24">
        <v>0.88854974682946286</v>
      </c>
      <c r="T64" s="15">
        <f t="shared" si="0"/>
        <v>-2.221911518270296</v>
      </c>
    </row>
    <row r="65" spans="1:20" x14ac:dyDescent="0.2">
      <c r="A65" t="s">
        <v>70</v>
      </c>
      <c r="B65" t="s">
        <v>13</v>
      </c>
      <c r="C65" t="s">
        <v>14</v>
      </c>
      <c r="D65" s="8">
        <v>16.4251</v>
      </c>
      <c r="E65" s="8">
        <v>19.845700000000001</v>
      </c>
      <c r="F65" s="8">
        <v>15.6494</v>
      </c>
      <c r="G65" s="8">
        <v>26.244299999999999</v>
      </c>
      <c r="H65" s="8">
        <v>26.7638</v>
      </c>
      <c r="I65" s="8">
        <v>28.111499999999999</v>
      </c>
      <c r="J65">
        <v>22.173300000000001</v>
      </c>
      <c r="K65">
        <v>5.5484907263146699</v>
      </c>
      <c r="L65" s="2">
        <v>-1.0359934410159821</v>
      </c>
      <c r="M65" s="3">
        <v>-0.41950146712167286</v>
      </c>
      <c r="N65" s="3">
        <v>-1.1757972251912192</v>
      </c>
      <c r="O65" s="3">
        <v>0.73371304032150253</v>
      </c>
      <c r="P65" s="3">
        <v>0.82734210552588006</v>
      </c>
      <c r="Q65" s="4">
        <v>1.0702369874814903</v>
      </c>
      <c r="R65" s="3">
        <v>-0.87709737777629149</v>
      </c>
      <c r="S65" s="4">
        <v>0.87709737777629104</v>
      </c>
      <c r="T65" s="31">
        <f t="shared" si="0"/>
        <v>-0.64375459773960308</v>
      </c>
    </row>
    <row r="66" spans="1:20" x14ac:dyDescent="0.2">
      <c r="A66" s="48" t="s">
        <v>12</v>
      </c>
      <c r="B66" s="48" t="s">
        <v>13</v>
      </c>
      <c r="C66" s="48" t="s">
        <v>14</v>
      </c>
      <c r="D66" s="49">
        <v>0</v>
      </c>
      <c r="E66" s="49">
        <v>0</v>
      </c>
      <c r="F66" s="49">
        <v>0</v>
      </c>
      <c r="G66" s="49">
        <v>8.3444400000000002E-2</v>
      </c>
      <c r="H66" s="49">
        <v>0.142425</v>
      </c>
      <c r="I66" s="49">
        <v>0.11594500000000001</v>
      </c>
      <c r="J66" s="48">
        <v>5.6969066666666672E-2</v>
      </c>
      <c r="K66" s="48">
        <v>6.514329466665518E-2</v>
      </c>
      <c r="L66" s="50">
        <v>-0.87451927260024442</v>
      </c>
      <c r="M66" s="51">
        <v>-0.87451927260024442</v>
      </c>
      <c r="N66" s="51">
        <v>-0.87451927260024442</v>
      </c>
      <c r="O66" s="51">
        <v>0.40641686099559876</v>
      </c>
      <c r="P66" s="51">
        <v>1.3118147273732463</v>
      </c>
      <c r="Q66" s="52">
        <v>0.90532622943188767</v>
      </c>
      <c r="R66" s="51">
        <v>-0.87451927260024442</v>
      </c>
      <c r="S66" s="52">
        <v>0.87451927260024431</v>
      </c>
      <c r="T66" s="15">
        <v>-1</v>
      </c>
    </row>
    <row r="67" spans="1:20" x14ac:dyDescent="0.2">
      <c r="A67" s="53" t="s">
        <v>150</v>
      </c>
      <c r="B67" s="53" t="s">
        <v>13</v>
      </c>
      <c r="C67" s="53" t="s">
        <v>14</v>
      </c>
      <c r="D67" s="54">
        <v>1.31681</v>
      </c>
      <c r="E67" s="54">
        <v>1.8641099999999999</v>
      </c>
      <c r="F67" s="54">
        <v>0.90560399999999996</v>
      </c>
      <c r="G67" s="54">
        <v>9.0803899999999995</v>
      </c>
      <c r="H67" s="54">
        <v>17.870100000000001</v>
      </c>
      <c r="I67" s="54">
        <v>17.3263</v>
      </c>
      <c r="J67" s="53">
        <v>8.0605523333333338</v>
      </c>
      <c r="K67" s="53">
        <v>7.9773255921352915</v>
      </c>
      <c r="L67" s="25">
        <v>-0.84536380713630055</v>
      </c>
      <c r="M67" s="26">
        <v>-0.77675685438266429</v>
      </c>
      <c r="N67" s="26">
        <v>-0.89691065642190593</v>
      </c>
      <c r="O67" s="26">
        <v>0.12784205118468603</v>
      </c>
      <c r="P67" s="26">
        <v>1.2296787379892995</v>
      </c>
      <c r="Q67" s="27">
        <v>1.161510528766885</v>
      </c>
      <c r="R67" s="26">
        <v>-0.83967710598029022</v>
      </c>
      <c r="S67" s="27">
        <v>0.83967710598029022</v>
      </c>
      <c r="T67" s="15">
        <f t="shared" ref="T67:T123" si="1">LOG(AVERAGE(D67:F67)/AVERAGE(G67:I67),2)</f>
        <v>-3.4376045201678811</v>
      </c>
    </row>
    <row r="68" spans="1:20" x14ac:dyDescent="0.2">
      <c r="A68" t="s">
        <v>56</v>
      </c>
      <c r="B68" t="s">
        <v>13</v>
      </c>
      <c r="C68" t="s">
        <v>14</v>
      </c>
      <c r="D68" s="8">
        <v>15.9406</v>
      </c>
      <c r="E68" s="8">
        <v>16.622800000000002</v>
      </c>
      <c r="F68" s="8">
        <v>15.187799999999999</v>
      </c>
      <c r="G68" s="8">
        <v>20.351600000000001</v>
      </c>
      <c r="H68" s="8">
        <v>23.182500000000001</v>
      </c>
      <c r="I68" s="8">
        <v>26.2746</v>
      </c>
      <c r="J68">
        <v>19.593316666666666</v>
      </c>
      <c r="K68">
        <v>4.4647880802639071</v>
      </c>
      <c r="L68" s="2">
        <v>-0.8181164707039712</v>
      </c>
      <c r="M68" s="3">
        <v>-0.66532086479031316</v>
      </c>
      <c r="N68" s="3">
        <v>-0.98672469722376244</v>
      </c>
      <c r="O68" s="3">
        <v>0.16983635498518751</v>
      </c>
      <c r="P68" s="3">
        <v>0.80388660532375888</v>
      </c>
      <c r="Q68" s="4">
        <v>1.4964390724091012</v>
      </c>
      <c r="R68" s="3">
        <v>-0.8233873442393489</v>
      </c>
      <c r="S68" s="4">
        <v>0.82338734423934923</v>
      </c>
      <c r="T68" s="31">
        <f t="shared" si="1"/>
        <v>-0.54786985648155784</v>
      </c>
    </row>
    <row r="69" spans="1:20" x14ac:dyDescent="0.2">
      <c r="A69" s="48" t="s">
        <v>141</v>
      </c>
      <c r="B69" s="48" t="s">
        <v>13</v>
      </c>
      <c r="C69" s="48" t="s">
        <v>14</v>
      </c>
      <c r="D69" s="49">
        <v>0</v>
      </c>
      <c r="E69" s="49">
        <v>0</v>
      </c>
      <c r="F69" s="49">
        <v>0</v>
      </c>
      <c r="G69" s="49">
        <v>2.5754600000000001</v>
      </c>
      <c r="H69" s="49">
        <v>1.43886</v>
      </c>
      <c r="I69" s="49">
        <v>1.19879</v>
      </c>
      <c r="J69" s="48">
        <v>0.86885166666666658</v>
      </c>
      <c r="K69" s="48">
        <v>1.0593385165548674</v>
      </c>
      <c r="L69" s="50">
        <v>-0.82018321158783736</v>
      </c>
      <c r="M69" s="51">
        <v>-0.82018321158783736</v>
      </c>
      <c r="N69" s="51">
        <v>-0.82018321158783736</v>
      </c>
      <c r="O69" s="51">
        <v>1.6110131999009039</v>
      </c>
      <c r="P69" s="51">
        <v>0.53807949435001068</v>
      </c>
      <c r="Q69" s="52">
        <v>0.31145694051259826</v>
      </c>
      <c r="R69" s="51">
        <v>-0.82018321158783747</v>
      </c>
      <c r="S69" s="52">
        <v>0.82018321158783758</v>
      </c>
      <c r="T69" s="15">
        <v>-1</v>
      </c>
    </row>
    <row r="70" spans="1:20" x14ac:dyDescent="0.2">
      <c r="A70" t="s">
        <v>49</v>
      </c>
      <c r="B70" t="s">
        <v>13</v>
      </c>
      <c r="C70" t="s">
        <v>14</v>
      </c>
      <c r="D70" s="8">
        <v>1.3906000000000001</v>
      </c>
      <c r="E70" s="8">
        <v>1.93197</v>
      </c>
      <c r="F70" s="8">
        <v>1.0645100000000001</v>
      </c>
      <c r="G70" s="8">
        <v>1.9493799999999999</v>
      </c>
      <c r="H70" s="8">
        <v>1.7886</v>
      </c>
      <c r="I70" s="8">
        <v>2.99892</v>
      </c>
      <c r="J70">
        <v>1.8539966666666665</v>
      </c>
      <c r="K70">
        <v>0.65853316571503584</v>
      </c>
      <c r="L70" s="2">
        <v>-0.70368007382515041</v>
      </c>
      <c r="M70" s="3">
        <v>0.11840456546887801</v>
      </c>
      <c r="N70" s="3">
        <v>-1.1988563488817472</v>
      </c>
      <c r="O70" s="3">
        <v>0.14484211016124918</v>
      </c>
      <c r="P70" s="3">
        <v>-9.9306565062154156E-2</v>
      </c>
      <c r="Q70" s="4">
        <v>1.7385963121389261</v>
      </c>
      <c r="R70" s="3">
        <v>-0.59471061907933986</v>
      </c>
      <c r="S70" s="4">
        <v>0.59471061907934042</v>
      </c>
      <c r="T70" s="31">
        <f t="shared" si="1"/>
        <v>-0.61882386999765182</v>
      </c>
    </row>
    <row r="71" spans="1:20" x14ac:dyDescent="0.2">
      <c r="A71" t="s">
        <v>76</v>
      </c>
      <c r="B71" t="s">
        <v>13</v>
      </c>
      <c r="C71" t="s">
        <v>14</v>
      </c>
      <c r="D71" s="8">
        <v>0.78353200000000001</v>
      </c>
      <c r="E71" s="8">
        <v>0.89948399999999995</v>
      </c>
      <c r="F71" s="8">
        <v>0.555199</v>
      </c>
      <c r="G71" s="8">
        <v>0.79346000000000005</v>
      </c>
      <c r="H71" s="8">
        <v>1.07802</v>
      </c>
      <c r="I71" s="8">
        <v>1.4030800000000001</v>
      </c>
      <c r="J71">
        <v>0.91879583333333337</v>
      </c>
      <c r="K71">
        <v>0.29204947155467775</v>
      </c>
      <c r="L71" s="2">
        <v>-0.46315383696220502</v>
      </c>
      <c r="M71" s="3">
        <v>-6.6125212384497811E-2</v>
      </c>
      <c r="N71" s="3">
        <v>-1.2449837056639237</v>
      </c>
      <c r="O71" s="3">
        <v>-0.42915959637293105</v>
      </c>
      <c r="P71" s="3">
        <v>0.54519587321648866</v>
      </c>
      <c r="Q71" s="4">
        <v>1.6582264781670686</v>
      </c>
      <c r="R71" s="3">
        <v>-0.59142091833687549</v>
      </c>
      <c r="S71" s="4">
        <v>0.59142091833687538</v>
      </c>
      <c r="T71" s="31">
        <f t="shared" si="1"/>
        <v>-0.54895243953178896</v>
      </c>
    </row>
    <row r="72" spans="1:20" x14ac:dyDescent="0.2">
      <c r="A72" t="s">
        <v>95</v>
      </c>
      <c r="B72" t="s">
        <v>13</v>
      </c>
      <c r="C72" t="s">
        <v>14</v>
      </c>
      <c r="D72" s="8">
        <v>1.2279199999999999</v>
      </c>
      <c r="E72" s="8">
        <v>2.5644999999999998</v>
      </c>
      <c r="F72" s="8">
        <v>2.0426799999999998</v>
      </c>
      <c r="G72" s="8">
        <v>2.4541900000000001</v>
      </c>
      <c r="H72" s="8">
        <v>2.39859</v>
      </c>
      <c r="I72" s="8">
        <v>3.9462199999999998</v>
      </c>
      <c r="J72">
        <v>2.4390166666666668</v>
      </c>
      <c r="K72">
        <v>0.88465930049181452</v>
      </c>
      <c r="L72" s="2">
        <v>-1.3689978345260982</v>
      </c>
      <c r="M72" s="3">
        <v>0.14184368294503</v>
      </c>
      <c r="N72" s="3">
        <v>-0.44801051257396934</v>
      </c>
      <c r="O72" s="3">
        <v>1.7151612292888176E-2</v>
      </c>
      <c r="P72" s="3">
        <v>-4.5697441539575931E-2</v>
      </c>
      <c r="Q72" s="4">
        <v>1.7037104934017235</v>
      </c>
      <c r="R72" s="3">
        <v>-0.55838822138501254</v>
      </c>
      <c r="S72" s="4">
        <v>0.55838822138501187</v>
      </c>
      <c r="T72" s="31">
        <f t="shared" si="1"/>
        <v>-0.59258219124452227</v>
      </c>
    </row>
    <row r="73" spans="1:20" x14ac:dyDescent="0.2">
      <c r="A73" s="13" t="s">
        <v>82</v>
      </c>
      <c r="B73" s="13" t="s">
        <v>13</v>
      </c>
      <c r="C73" s="13" t="s">
        <v>14</v>
      </c>
      <c r="D73" s="14">
        <v>1.0855699999999999</v>
      </c>
      <c r="E73" s="14">
        <v>0</v>
      </c>
      <c r="F73" s="14">
        <v>0.29530299999999998</v>
      </c>
      <c r="G73" s="14">
        <v>0.47133799999999998</v>
      </c>
      <c r="H73" s="14">
        <v>2.0121699999999998</v>
      </c>
      <c r="I73" s="14">
        <v>1.3150900000000001</v>
      </c>
      <c r="J73" s="13">
        <v>0.86324516666666662</v>
      </c>
      <c r="K73" s="13">
        <v>0.74765795753310005</v>
      </c>
      <c r="L73" s="25">
        <v>0.29736168938386592</v>
      </c>
      <c r="M73" s="26">
        <v>-1.1545990488952287</v>
      </c>
      <c r="N73" s="26">
        <v>-0.75962833130351981</v>
      </c>
      <c r="O73" s="26">
        <v>-0.52417975722450094</v>
      </c>
      <c r="P73" s="26">
        <v>1.5366984618530837</v>
      </c>
      <c r="Q73" s="27">
        <v>0.60434698618629967</v>
      </c>
      <c r="R73" s="26">
        <v>-0.53895523027162751</v>
      </c>
      <c r="S73" s="27">
        <v>0.53895523027162751</v>
      </c>
      <c r="T73" s="15">
        <f t="shared" si="1"/>
        <v>-1.4598864019275151</v>
      </c>
    </row>
    <row r="74" spans="1:20" x14ac:dyDescent="0.2">
      <c r="A74" t="s">
        <v>94</v>
      </c>
      <c r="B74" t="s">
        <v>13</v>
      </c>
      <c r="C74" t="s">
        <v>14</v>
      </c>
      <c r="D74" s="8">
        <v>100.673</v>
      </c>
      <c r="E74" s="8">
        <v>117.556</v>
      </c>
      <c r="F74" s="8">
        <v>96.031300000000002</v>
      </c>
      <c r="G74" s="8">
        <v>73.223299999999995</v>
      </c>
      <c r="H74" s="8">
        <v>90.0702</v>
      </c>
      <c r="I74" s="8">
        <v>106.023</v>
      </c>
      <c r="J74">
        <v>97.262799999999984</v>
      </c>
      <c r="K74">
        <v>15.042155308199741</v>
      </c>
      <c r="L74" s="2">
        <v>0.22670953265195035</v>
      </c>
      <c r="M74" s="3">
        <v>1.3490885836644591</v>
      </c>
      <c r="N74" s="3">
        <v>-8.1869916562334027E-2</v>
      </c>
      <c r="O74" s="3">
        <v>-1.5981419887943611</v>
      </c>
      <c r="P74" s="3">
        <v>-0.47816285981831164</v>
      </c>
      <c r="Q74" s="4">
        <v>0.58237664885860296</v>
      </c>
      <c r="R74" s="3">
        <v>0.49797606658469179</v>
      </c>
      <c r="S74" s="4">
        <v>-0.49797606658469001</v>
      </c>
      <c r="T74" s="31">
        <f t="shared" si="1"/>
        <v>0.22265740929745195</v>
      </c>
    </row>
    <row r="75" spans="1:20" x14ac:dyDescent="0.2">
      <c r="A75" t="s">
        <v>96</v>
      </c>
      <c r="B75" t="s">
        <v>13</v>
      </c>
      <c r="C75" t="s">
        <v>14</v>
      </c>
      <c r="D75" s="8">
        <v>7.6718400000000004</v>
      </c>
      <c r="E75" s="8">
        <v>10.318</v>
      </c>
      <c r="F75" s="8">
        <v>9.9507300000000001</v>
      </c>
      <c r="G75" s="8">
        <v>7.1701100000000002</v>
      </c>
      <c r="H75" s="8">
        <v>5.0553900000000001</v>
      </c>
      <c r="I75" s="8">
        <v>6.5116300000000003</v>
      </c>
      <c r="J75">
        <v>7.7796166666666666</v>
      </c>
      <c r="K75">
        <v>2.0282720901266318</v>
      </c>
      <c r="L75" s="2">
        <v>-5.3137183709872637E-2</v>
      </c>
      <c r="M75" s="3">
        <v>1.251500400606929</v>
      </c>
      <c r="N75" s="3">
        <v>1.0704250893664782</v>
      </c>
      <c r="O75" s="3">
        <v>-0.30050537579926612</v>
      </c>
      <c r="P75" s="3">
        <v>-1.3431268319116811</v>
      </c>
      <c r="Q75" s="4">
        <v>-0.62515609855258703</v>
      </c>
      <c r="R75" s="3">
        <v>0.75626276875451148</v>
      </c>
      <c r="S75" s="4">
        <v>-0.75626276875451148</v>
      </c>
      <c r="T75" s="31">
        <f t="shared" si="1"/>
        <v>0.57646146294764056</v>
      </c>
    </row>
    <row r="76" spans="1:20" ht="16" thickBot="1" x14ac:dyDescent="0.25">
      <c r="A76" t="s">
        <v>90</v>
      </c>
      <c r="B76" t="s">
        <v>13</v>
      </c>
      <c r="C76" t="s">
        <v>14</v>
      </c>
      <c r="D76" s="8">
        <v>67.326800000000006</v>
      </c>
      <c r="E76" s="8">
        <v>73.4178</v>
      </c>
      <c r="F76" s="8">
        <v>62.642200000000003</v>
      </c>
      <c r="G76" s="8">
        <v>43.543900000000001</v>
      </c>
      <c r="H76" s="8">
        <v>41.182600000000001</v>
      </c>
      <c r="I76" s="8">
        <v>46.129800000000003</v>
      </c>
      <c r="J76">
        <v>55.707183333333326</v>
      </c>
      <c r="K76">
        <v>13.765254406136753</v>
      </c>
      <c r="L76" s="5">
        <v>0.84412654672669785</v>
      </c>
      <c r="M76" s="6">
        <v>1.2866174604641538</v>
      </c>
      <c r="N76" s="6">
        <v>0.50380592047575556</v>
      </c>
      <c r="O76" s="6">
        <v>-0.88362212382437</v>
      </c>
      <c r="P76" s="6">
        <v>-1.0551627238257255</v>
      </c>
      <c r="Q76" s="7">
        <v>-0.69576508001650772</v>
      </c>
      <c r="R76" s="6">
        <v>0.87818330922220234</v>
      </c>
      <c r="S76" s="7">
        <v>-0.87818330922220111</v>
      </c>
      <c r="T76" s="31">
        <f t="shared" si="1"/>
        <v>0.63624266616378977</v>
      </c>
    </row>
    <row r="77" spans="1:20" x14ac:dyDescent="0.2">
      <c r="A77" s="13" t="s">
        <v>91</v>
      </c>
      <c r="B77" s="13" t="s">
        <v>23</v>
      </c>
      <c r="C77" s="13" t="s">
        <v>24</v>
      </c>
      <c r="D77" s="14">
        <v>0.19991400000000001</v>
      </c>
      <c r="E77" s="14">
        <v>0.21788399999999999</v>
      </c>
      <c r="F77" s="14">
        <v>0.19880200000000001</v>
      </c>
      <c r="G77" s="14">
        <v>2.1570100000000001</v>
      </c>
      <c r="H77" s="14">
        <v>1.70194</v>
      </c>
      <c r="I77" s="14">
        <v>2.0872799999999998</v>
      </c>
      <c r="J77" s="13">
        <v>1.0938049999999999</v>
      </c>
      <c r="K77" s="13">
        <v>0.98534610305272929</v>
      </c>
      <c r="L77" s="22">
        <v>-0.90718479246085237</v>
      </c>
      <c r="M77" s="23">
        <v>-0.88894754572660684</v>
      </c>
      <c r="N77" s="23">
        <v>-0.90831332993266545</v>
      </c>
      <c r="O77" s="23">
        <v>1.0790168010063206</v>
      </c>
      <c r="P77" s="23">
        <v>0.61717907861605115</v>
      </c>
      <c r="Q77" s="24">
        <v>1.0082497884977535</v>
      </c>
      <c r="R77" s="23">
        <v>-0.90148188937337492</v>
      </c>
      <c r="S77" s="24">
        <v>0.90148188937337503</v>
      </c>
      <c r="T77" s="15">
        <f t="shared" si="1"/>
        <v>-3.2695684731684787</v>
      </c>
    </row>
    <row r="78" spans="1:20" x14ac:dyDescent="0.2">
      <c r="A78" t="s">
        <v>139</v>
      </c>
      <c r="B78" t="s">
        <v>23</v>
      </c>
      <c r="C78" t="s">
        <v>24</v>
      </c>
      <c r="D78" s="8">
        <v>15.819800000000001</v>
      </c>
      <c r="E78" s="8">
        <v>12.728300000000001</v>
      </c>
      <c r="F78" s="8">
        <v>15.0039</v>
      </c>
      <c r="G78" s="8">
        <v>28.0061</v>
      </c>
      <c r="H78" s="8">
        <v>23.385200000000001</v>
      </c>
      <c r="I78" s="8">
        <v>24.973199999999999</v>
      </c>
      <c r="J78">
        <v>19.98608333333333</v>
      </c>
      <c r="K78">
        <v>6.2546219803971166</v>
      </c>
      <c r="L78" s="2">
        <v>-0.66611273173519669</v>
      </c>
      <c r="M78" s="3">
        <v>-1.1603872074252071</v>
      </c>
      <c r="N78" s="3">
        <v>-0.7965602635855864</v>
      </c>
      <c r="O78" s="3">
        <v>1.2822544179012823</v>
      </c>
      <c r="P78" s="3">
        <v>0.54345677121974612</v>
      </c>
      <c r="Q78" s="4">
        <v>0.79734901362496546</v>
      </c>
      <c r="R78" s="3">
        <v>-0.87435340091533009</v>
      </c>
      <c r="S78" s="4">
        <v>0.87435340091533131</v>
      </c>
      <c r="T78" s="31">
        <f t="shared" si="1"/>
        <v>-0.81016314828856872</v>
      </c>
    </row>
    <row r="79" spans="1:20" x14ac:dyDescent="0.2">
      <c r="A79" s="13" t="s">
        <v>50</v>
      </c>
      <c r="B79" s="13" t="s">
        <v>23</v>
      </c>
      <c r="C79" s="13" t="s">
        <v>24</v>
      </c>
      <c r="D79" s="14">
        <v>0.37157899999999999</v>
      </c>
      <c r="E79" s="14">
        <v>0.371778</v>
      </c>
      <c r="F79" s="14">
        <v>0.36930000000000002</v>
      </c>
      <c r="G79" s="14">
        <v>1.8992199999999999</v>
      </c>
      <c r="H79" s="14">
        <v>1.74915</v>
      </c>
      <c r="I79" s="14">
        <v>3.1381999999999999</v>
      </c>
      <c r="J79" s="13">
        <v>1.3165378333333333</v>
      </c>
      <c r="K79" s="13">
        <v>1.1426200327175116</v>
      </c>
      <c r="L79" s="25">
        <v>-0.82701056018239283</v>
      </c>
      <c r="M79" s="26">
        <v>-0.82683639904894357</v>
      </c>
      <c r="N79" s="26">
        <v>-0.82900509899209662</v>
      </c>
      <c r="O79" s="26">
        <v>0.50995269641900487</v>
      </c>
      <c r="P79" s="26">
        <v>0.37861419744040214</v>
      </c>
      <c r="Q79" s="27">
        <v>1.5942851643640259</v>
      </c>
      <c r="R79" s="26">
        <v>-0.82761735274114434</v>
      </c>
      <c r="S79" s="27">
        <v>0.82761735274114434</v>
      </c>
      <c r="T79" s="15">
        <f t="shared" si="1"/>
        <v>-2.6086736862153277</v>
      </c>
    </row>
    <row r="80" spans="1:20" x14ac:dyDescent="0.2">
      <c r="A80" s="13" t="s">
        <v>22</v>
      </c>
      <c r="B80" s="13" t="s">
        <v>23</v>
      </c>
      <c r="C80" s="13" t="s">
        <v>24</v>
      </c>
      <c r="D80" s="14">
        <v>0.460982</v>
      </c>
      <c r="E80" s="14">
        <v>0.29592000000000002</v>
      </c>
      <c r="F80" s="14">
        <v>0.36025699999999999</v>
      </c>
      <c r="G80" s="14">
        <v>2.47634</v>
      </c>
      <c r="H80" s="14">
        <v>3.2593399999999999</v>
      </c>
      <c r="I80" s="14">
        <v>5.1490499999999999</v>
      </c>
      <c r="J80" s="13">
        <v>2.0003148333333329</v>
      </c>
      <c r="K80" s="13">
        <v>1.9844684172721336</v>
      </c>
      <c r="L80" s="25">
        <v>-0.77569026543103781</v>
      </c>
      <c r="M80" s="26">
        <v>-0.85886720015237528</v>
      </c>
      <c r="N80" s="26">
        <v>-0.82644693110700629</v>
      </c>
      <c r="O80" s="26">
        <v>0.23987540568723947</v>
      </c>
      <c r="P80" s="26">
        <v>0.63443950818694972</v>
      </c>
      <c r="Q80" s="27">
        <v>1.5866894828162315</v>
      </c>
      <c r="R80" s="26">
        <v>-0.82033479889680649</v>
      </c>
      <c r="S80" s="27">
        <v>0.82033479889680694</v>
      </c>
      <c r="T80" s="15">
        <f t="shared" si="1"/>
        <v>-3.2843991837883344</v>
      </c>
    </row>
    <row r="81" spans="1:20" x14ac:dyDescent="0.2">
      <c r="A81" t="s">
        <v>92</v>
      </c>
      <c r="B81" t="s">
        <v>23</v>
      </c>
      <c r="C81" t="s">
        <v>24</v>
      </c>
      <c r="D81" s="8">
        <v>0.320575</v>
      </c>
      <c r="E81" s="8">
        <v>0.32033899999999998</v>
      </c>
      <c r="F81" s="8">
        <v>0.150009</v>
      </c>
      <c r="G81" s="8">
        <v>0.46313900000000002</v>
      </c>
      <c r="H81" s="8">
        <v>0.54103699999999999</v>
      </c>
      <c r="I81" s="8">
        <v>0.39045400000000002</v>
      </c>
      <c r="J81">
        <v>0.36425883333333337</v>
      </c>
      <c r="K81">
        <v>0.1352436427081386</v>
      </c>
      <c r="L81" s="2">
        <v>-0.32300101105384221</v>
      </c>
      <c r="M81" s="3">
        <v>-0.32474600989648145</v>
      </c>
      <c r="N81" s="3">
        <v>-1.5841767423825859</v>
      </c>
      <c r="O81" s="3">
        <v>0.73112617115803491</v>
      </c>
      <c r="P81" s="3">
        <v>1.3071088823610086</v>
      </c>
      <c r="Q81" s="4">
        <v>0.19368870981386471</v>
      </c>
      <c r="R81" s="3">
        <v>-0.74397458777763648</v>
      </c>
      <c r="S81" s="4">
        <v>0.74397458777763614</v>
      </c>
      <c r="T81" s="31">
        <f t="shared" si="1"/>
        <v>-0.81827326736771178</v>
      </c>
    </row>
    <row r="82" spans="1:20" x14ac:dyDescent="0.2">
      <c r="A82" s="48" t="s">
        <v>55</v>
      </c>
      <c r="B82" s="48" t="s">
        <v>23</v>
      </c>
      <c r="C82" s="48" t="s">
        <v>24</v>
      </c>
      <c r="D82" s="49">
        <v>0</v>
      </c>
      <c r="E82" s="49">
        <v>0</v>
      </c>
      <c r="F82" s="49">
        <v>0</v>
      </c>
      <c r="G82" s="49">
        <v>0.27645999999999998</v>
      </c>
      <c r="H82" s="49">
        <v>7.0936700000000005E-2</v>
      </c>
      <c r="I82" s="49">
        <v>0.14416200000000001</v>
      </c>
      <c r="J82" s="48">
        <v>8.1926449999999998E-2</v>
      </c>
      <c r="K82" s="48">
        <v>0.11133119059210225</v>
      </c>
      <c r="L82" s="50">
        <v>-0.73588048025251063</v>
      </c>
      <c r="M82" s="51">
        <v>-0.73588048025251063</v>
      </c>
      <c r="N82" s="51">
        <v>-0.73588048025251063</v>
      </c>
      <c r="O82" s="51">
        <v>1.7473409649658418</v>
      </c>
      <c r="P82" s="51">
        <v>-9.8712229174522062E-2</v>
      </c>
      <c r="Q82" s="52">
        <v>0.55901270496621236</v>
      </c>
      <c r="R82" s="51">
        <v>-0.73588048025251063</v>
      </c>
      <c r="S82" s="52">
        <v>0.73588048025251063</v>
      </c>
      <c r="T82" s="15">
        <v>-1</v>
      </c>
    </row>
    <row r="83" spans="1:20" x14ac:dyDescent="0.2">
      <c r="A83" s="48" t="s">
        <v>143</v>
      </c>
      <c r="B83" s="48" t="s">
        <v>23</v>
      </c>
      <c r="C83" s="48" t="s">
        <v>24</v>
      </c>
      <c r="D83" s="49">
        <v>0</v>
      </c>
      <c r="E83" s="49">
        <v>0</v>
      </c>
      <c r="F83" s="49">
        <v>0</v>
      </c>
      <c r="G83" s="49">
        <v>0.34140399999999999</v>
      </c>
      <c r="H83" s="49">
        <v>0</v>
      </c>
      <c r="I83" s="49">
        <v>0.17394999999999999</v>
      </c>
      <c r="J83" s="48">
        <v>8.5892333333333334E-2</v>
      </c>
      <c r="K83" s="48">
        <v>0.14321336261908896</v>
      </c>
      <c r="L83" s="50">
        <v>-0.59975083164400689</v>
      </c>
      <c r="M83" s="51">
        <v>-0.59975083164400689</v>
      </c>
      <c r="N83" s="51">
        <v>-0.59975083164400689</v>
      </c>
      <c r="O83" s="51">
        <v>1.7841328629805484</v>
      </c>
      <c r="P83" s="51">
        <v>-0.59975083164400689</v>
      </c>
      <c r="Q83" s="52">
        <v>0.61487046359547892</v>
      </c>
      <c r="R83" s="51">
        <v>-0.59975083164400689</v>
      </c>
      <c r="S83" s="52">
        <v>0.59975083164400689</v>
      </c>
      <c r="T83" s="15">
        <v>-1</v>
      </c>
    </row>
    <row r="84" spans="1:20" x14ac:dyDescent="0.2">
      <c r="A84" s="48" t="s">
        <v>51</v>
      </c>
      <c r="B84" s="48" t="s">
        <v>23</v>
      </c>
      <c r="C84" s="48" t="s">
        <v>24</v>
      </c>
      <c r="D84" s="49">
        <v>0</v>
      </c>
      <c r="E84" s="49">
        <v>0</v>
      </c>
      <c r="F84" s="49">
        <v>0</v>
      </c>
      <c r="G84" s="49">
        <v>0.15284800000000001</v>
      </c>
      <c r="H84" s="49">
        <v>0</v>
      </c>
      <c r="I84" s="49">
        <v>0</v>
      </c>
      <c r="J84" s="48">
        <v>2.547466666666667E-2</v>
      </c>
      <c r="K84" s="48">
        <v>6.2399934700820538E-2</v>
      </c>
      <c r="L84" s="50">
        <v>-0.40824829046386302</v>
      </c>
      <c r="M84" s="51">
        <v>-0.40824829046386302</v>
      </c>
      <c r="N84" s="51">
        <v>-0.40824829046386302</v>
      </c>
      <c r="O84" s="51">
        <v>2.0412414523193152</v>
      </c>
      <c r="P84" s="51">
        <v>-0.40824829046386302</v>
      </c>
      <c r="Q84" s="52">
        <v>-0.40824829046386302</v>
      </c>
      <c r="R84" s="51">
        <v>-0.40824829046386296</v>
      </c>
      <c r="S84" s="52">
        <v>0.40824829046386296</v>
      </c>
      <c r="T84" s="15">
        <v>-1</v>
      </c>
    </row>
    <row r="85" spans="1:20" x14ac:dyDescent="0.2">
      <c r="A85" t="s">
        <v>47</v>
      </c>
      <c r="B85" t="s">
        <v>23</v>
      </c>
      <c r="C85" t="s">
        <v>24</v>
      </c>
      <c r="D85" s="8">
        <v>17.543600000000001</v>
      </c>
      <c r="E85" s="8">
        <v>14.9809</v>
      </c>
      <c r="F85" s="8">
        <v>17.0276</v>
      </c>
      <c r="G85" s="8">
        <v>12.608499999999999</v>
      </c>
      <c r="H85" s="8">
        <v>13.025700000000001</v>
      </c>
      <c r="I85" s="8">
        <v>9.9064099999999993</v>
      </c>
      <c r="J85">
        <v>14.182118333333333</v>
      </c>
      <c r="K85">
        <v>2.9027447987752346</v>
      </c>
      <c r="L85" s="2">
        <v>1.1580355490034777</v>
      </c>
      <c r="M85" s="3">
        <v>0.27518149959434929</v>
      </c>
      <c r="N85" s="3">
        <v>0.98027276385690898</v>
      </c>
      <c r="O85" s="3">
        <v>-0.54211391025394184</v>
      </c>
      <c r="P85" s="3">
        <v>-0.39838787544163873</v>
      </c>
      <c r="Q85" s="4">
        <v>-1.4729880267591553</v>
      </c>
      <c r="R85" s="3">
        <v>0.80449660415157875</v>
      </c>
      <c r="S85" s="4">
        <v>-0.80449660415157853</v>
      </c>
      <c r="T85" s="31">
        <f t="shared" si="1"/>
        <v>0.47947775637490131</v>
      </c>
    </row>
    <row r="86" spans="1:20" ht="16" thickBot="1" x14ac:dyDescent="0.25">
      <c r="A86" s="61" t="s">
        <v>119</v>
      </c>
      <c r="B86" s="61" t="s">
        <v>23</v>
      </c>
      <c r="C86" s="61" t="s">
        <v>24</v>
      </c>
      <c r="D86" s="62">
        <v>25.660699999999999</v>
      </c>
      <c r="E86" s="62">
        <v>23.876999999999999</v>
      </c>
      <c r="F86" s="62">
        <v>23.947099999999999</v>
      </c>
      <c r="G86" s="62">
        <v>9.2636099999999999</v>
      </c>
      <c r="H86" s="62">
        <v>9.2081999999999997</v>
      </c>
      <c r="I86" s="62">
        <v>8.3556899999999992</v>
      </c>
      <c r="J86" s="61">
        <v>16.718716666666669</v>
      </c>
      <c r="K86" s="61">
        <v>8.548406902651891</v>
      </c>
      <c r="L86" s="16">
        <v>1.04604090974651</v>
      </c>
      <c r="M86" s="17">
        <v>0.83738214790789656</v>
      </c>
      <c r="N86" s="17">
        <v>0.84558250626686216</v>
      </c>
      <c r="O86" s="17">
        <v>-0.87210479701825405</v>
      </c>
      <c r="P86" s="17">
        <v>-0.8785867065285291</v>
      </c>
      <c r="Q86" s="18">
        <v>-0.97831406037448776</v>
      </c>
      <c r="R86" s="17">
        <v>0.90966852130708953</v>
      </c>
      <c r="S86" s="18">
        <v>-0.90966852130709031</v>
      </c>
      <c r="T86" s="15">
        <f t="shared" si="1"/>
        <v>1.4537332467801642</v>
      </c>
    </row>
    <row r="87" spans="1:20" x14ac:dyDescent="0.2">
      <c r="A87" s="13" t="s">
        <v>102</v>
      </c>
      <c r="B87" s="13" t="s">
        <v>17</v>
      </c>
      <c r="C87" s="13" t="s">
        <v>18</v>
      </c>
      <c r="D87" s="14">
        <v>0.60612200000000005</v>
      </c>
      <c r="E87" s="14">
        <v>0.66872900000000002</v>
      </c>
      <c r="F87" s="14">
        <v>0.58178600000000003</v>
      </c>
      <c r="G87" s="14">
        <v>9.8215800000000009</v>
      </c>
      <c r="H87" s="14">
        <v>9.8222000000000005</v>
      </c>
      <c r="I87" s="14">
        <v>9.2132000000000005</v>
      </c>
      <c r="J87" s="13">
        <v>5.1189361666666668</v>
      </c>
      <c r="K87" s="13">
        <v>4.9346552708385394</v>
      </c>
      <c r="L87" s="22">
        <v>-0.91451457477389508</v>
      </c>
      <c r="M87" s="23">
        <v>-0.90182736633403149</v>
      </c>
      <c r="N87" s="23">
        <v>-0.91944622626003114</v>
      </c>
      <c r="O87" s="23">
        <v>0.95298325318157839</v>
      </c>
      <c r="P87" s="23">
        <v>0.95310889519018305</v>
      </c>
      <c r="Q87" s="24">
        <v>0.82969601899619649</v>
      </c>
      <c r="R87" s="23">
        <v>-0.91192938912265264</v>
      </c>
      <c r="S87" s="24">
        <v>0.91192938912265264</v>
      </c>
      <c r="T87" s="15">
        <f t="shared" si="1"/>
        <v>-3.9581566441081777</v>
      </c>
    </row>
    <row r="88" spans="1:20" x14ac:dyDescent="0.2">
      <c r="A88" s="13" t="s">
        <v>57</v>
      </c>
      <c r="B88" s="13" t="s">
        <v>17</v>
      </c>
      <c r="C88" s="13" t="s">
        <v>18</v>
      </c>
      <c r="D88" s="14">
        <v>0.21076400000000001</v>
      </c>
      <c r="E88" s="14">
        <v>0.25289400000000001</v>
      </c>
      <c r="F88" s="14">
        <v>0.10476199999999999</v>
      </c>
      <c r="G88" s="14">
        <v>5.3474700000000004</v>
      </c>
      <c r="H88" s="14">
        <v>5.9113300000000004</v>
      </c>
      <c r="I88" s="14">
        <v>5.6842800000000002</v>
      </c>
      <c r="J88" s="13">
        <v>2.9185833333333338</v>
      </c>
      <c r="K88" s="13">
        <v>2.9953589688753279</v>
      </c>
      <c r="L88" s="25">
        <v>-0.90400494948024301</v>
      </c>
      <c r="M88" s="26">
        <v>-0.88993985730338832</v>
      </c>
      <c r="N88" s="26">
        <v>-0.93939369623863267</v>
      </c>
      <c r="O88" s="26">
        <v>0.81088333381913302</v>
      </c>
      <c r="P88" s="26">
        <v>0.99912788342372127</v>
      </c>
      <c r="Q88" s="27">
        <v>0.92332728577940926</v>
      </c>
      <c r="R88" s="26">
        <v>-0.91111283434075452</v>
      </c>
      <c r="S88" s="27">
        <v>0.91111283434075452</v>
      </c>
      <c r="T88" s="15">
        <f t="shared" si="1"/>
        <v>-4.8975950317308534</v>
      </c>
    </row>
    <row r="89" spans="1:20" x14ac:dyDescent="0.2">
      <c r="A89" s="53" t="s">
        <v>64</v>
      </c>
      <c r="B89" s="53" t="s">
        <v>17</v>
      </c>
      <c r="C89" s="53" t="s">
        <v>18</v>
      </c>
      <c r="D89" s="54">
        <v>5.9422800000000002</v>
      </c>
      <c r="E89" s="54">
        <v>5.1302000000000003</v>
      </c>
      <c r="F89" s="54">
        <v>4.9083300000000003</v>
      </c>
      <c r="G89" s="54">
        <v>24.486000000000001</v>
      </c>
      <c r="H89" s="54">
        <v>26.1751</v>
      </c>
      <c r="I89" s="54">
        <v>28.6815</v>
      </c>
      <c r="J89" s="53">
        <v>15.887234999999999</v>
      </c>
      <c r="K89" s="53">
        <v>11.650102399686881</v>
      </c>
      <c r="L89" s="25">
        <v>-0.8536367028213665</v>
      </c>
      <c r="M89" s="26">
        <v>-0.92334252789821947</v>
      </c>
      <c r="N89" s="26">
        <v>-0.94238699569671391</v>
      </c>
      <c r="O89" s="26">
        <v>0.73808492878406895</v>
      </c>
      <c r="P89" s="26">
        <v>0.88307077886942076</v>
      </c>
      <c r="Q89" s="27">
        <v>1.0982105187628111</v>
      </c>
      <c r="R89" s="26">
        <v>-0.90645540880543329</v>
      </c>
      <c r="S89" s="27">
        <v>0.90645540880543363</v>
      </c>
      <c r="T89" s="15">
        <f t="shared" si="1"/>
        <v>-2.3117551400789886</v>
      </c>
    </row>
    <row r="90" spans="1:20" x14ac:dyDescent="0.2">
      <c r="A90" s="53" t="s">
        <v>28</v>
      </c>
      <c r="B90" s="53" t="s">
        <v>17</v>
      </c>
      <c r="C90" s="53" t="s">
        <v>18</v>
      </c>
      <c r="D90" s="54">
        <v>3.7308699999999999</v>
      </c>
      <c r="E90" s="54">
        <v>4.4596600000000004</v>
      </c>
      <c r="F90" s="54">
        <v>3.1288200000000002</v>
      </c>
      <c r="G90" s="54">
        <v>10.8909</v>
      </c>
      <c r="H90" s="54">
        <v>11.738899999999999</v>
      </c>
      <c r="I90" s="54">
        <v>11.7765</v>
      </c>
      <c r="J90" s="53">
        <v>7.6209416666666669</v>
      </c>
      <c r="K90" s="53">
        <v>4.247926313261174</v>
      </c>
      <c r="L90" s="25">
        <v>-0.91575780270073037</v>
      </c>
      <c r="M90" s="26">
        <v>-0.74419409225573885</v>
      </c>
      <c r="N90" s="26">
        <v>-1.0574857790360355</v>
      </c>
      <c r="O90" s="26">
        <v>0.76977755549223614</v>
      </c>
      <c r="P90" s="26">
        <v>0.96940437042843519</v>
      </c>
      <c r="Q90" s="27">
        <v>0.97825574807183302</v>
      </c>
      <c r="R90" s="26">
        <v>-0.9058125579975016</v>
      </c>
      <c r="S90" s="27">
        <v>0.90581255799750149</v>
      </c>
      <c r="T90" s="15">
        <f t="shared" si="1"/>
        <v>-1.6038816397066431</v>
      </c>
    </row>
    <row r="91" spans="1:20" x14ac:dyDescent="0.2">
      <c r="A91" s="48" t="s">
        <v>146</v>
      </c>
      <c r="B91" s="48" t="s">
        <v>17</v>
      </c>
      <c r="C91" s="48" t="s">
        <v>18</v>
      </c>
      <c r="D91" s="49">
        <v>0</v>
      </c>
      <c r="E91" s="49">
        <v>0</v>
      </c>
      <c r="F91" s="49">
        <v>0</v>
      </c>
      <c r="G91" s="49">
        <v>3.5701399999999999</v>
      </c>
      <c r="H91" s="49">
        <v>4.0197599999999998</v>
      </c>
      <c r="I91" s="49">
        <v>4.6108099999999999</v>
      </c>
      <c r="J91" s="48">
        <v>2.0334516666666667</v>
      </c>
      <c r="K91" s="48">
        <v>2.2518607794125876</v>
      </c>
      <c r="L91" s="50">
        <v>-0.90300949563902688</v>
      </c>
      <c r="M91" s="51">
        <v>-0.90300949563902688</v>
      </c>
      <c r="N91" s="51">
        <v>-0.90300949563902688</v>
      </c>
      <c r="O91" s="51">
        <v>0.68240823206405699</v>
      </c>
      <c r="P91" s="51">
        <v>0.88207421679570908</v>
      </c>
      <c r="Q91" s="52">
        <v>1.1445460380573145</v>
      </c>
      <c r="R91" s="51">
        <v>-0.90300949563902699</v>
      </c>
      <c r="S91" s="52">
        <v>0.90300949563902699</v>
      </c>
      <c r="T91" s="15">
        <v>-1</v>
      </c>
    </row>
    <row r="92" spans="1:20" x14ac:dyDescent="0.2">
      <c r="A92" s="13" t="s">
        <v>151</v>
      </c>
      <c r="B92" s="13" t="s">
        <v>17</v>
      </c>
      <c r="C92" s="13" t="s">
        <v>18</v>
      </c>
      <c r="D92" s="14">
        <v>0</v>
      </c>
      <c r="E92" s="14">
        <v>0.106194</v>
      </c>
      <c r="F92" s="14">
        <v>0.104229</v>
      </c>
      <c r="G92" s="14">
        <v>3.1099000000000001</v>
      </c>
      <c r="H92" s="14">
        <v>2.6198000000000001</v>
      </c>
      <c r="I92" s="14">
        <v>2.2027800000000002</v>
      </c>
      <c r="J92" s="13">
        <v>1.3571505000000001</v>
      </c>
      <c r="K92" s="13">
        <v>1.4393099562342713</v>
      </c>
      <c r="L92" s="25">
        <v>-0.94291746827818212</v>
      </c>
      <c r="M92" s="26">
        <v>-0.86913627921600134</v>
      </c>
      <c r="N92" s="26">
        <v>-0.8705015167671547</v>
      </c>
      <c r="O92" s="26">
        <v>1.2177707049187614</v>
      </c>
      <c r="P92" s="26">
        <v>0.87726031111708858</v>
      </c>
      <c r="Q92" s="27">
        <v>0.58752424822548788</v>
      </c>
      <c r="R92" s="26">
        <v>-0.89418508808711283</v>
      </c>
      <c r="S92" s="27">
        <v>0.89418508808711261</v>
      </c>
      <c r="T92" s="15">
        <f t="shared" si="1"/>
        <v>-5.2364076685278196</v>
      </c>
    </row>
    <row r="93" spans="1:20" x14ac:dyDescent="0.2">
      <c r="A93" s="48" t="s">
        <v>145</v>
      </c>
      <c r="B93" s="48" t="s">
        <v>17</v>
      </c>
      <c r="C93" s="48" t="s">
        <v>18</v>
      </c>
      <c r="D93" s="49">
        <v>0</v>
      </c>
      <c r="E93" s="49">
        <v>0</v>
      </c>
      <c r="F93" s="49">
        <v>0</v>
      </c>
      <c r="G93" s="49">
        <v>3.9250799999999999</v>
      </c>
      <c r="H93" s="49">
        <v>5.7268100000000004</v>
      </c>
      <c r="I93" s="49">
        <v>4.7615999999999996</v>
      </c>
      <c r="J93" s="48">
        <v>2.4022483333333331</v>
      </c>
      <c r="K93" s="48">
        <v>2.6926068414264765</v>
      </c>
      <c r="L93" s="50">
        <v>-0.89216453600804246</v>
      </c>
      <c r="M93" s="51">
        <v>-0.89216453600804246</v>
      </c>
      <c r="N93" s="51">
        <v>-0.89216453600804246</v>
      </c>
      <c r="O93" s="51">
        <v>0.56556034963496871</v>
      </c>
      <c r="P93" s="51">
        <v>1.2346999998356227</v>
      </c>
      <c r="Q93" s="52">
        <v>0.87623325855353629</v>
      </c>
      <c r="R93" s="51">
        <v>-0.89216453600804246</v>
      </c>
      <c r="S93" s="52">
        <v>0.89216453600804257</v>
      </c>
      <c r="T93" s="15">
        <v>-1</v>
      </c>
    </row>
    <row r="94" spans="1:20" x14ac:dyDescent="0.2">
      <c r="A94" s="48" t="s">
        <v>140</v>
      </c>
      <c r="B94" s="48" t="s">
        <v>17</v>
      </c>
      <c r="C94" s="48" t="s">
        <v>18</v>
      </c>
      <c r="D94" s="49">
        <v>0</v>
      </c>
      <c r="E94" s="49">
        <v>0</v>
      </c>
      <c r="F94" s="49">
        <v>0</v>
      </c>
      <c r="G94" s="49">
        <v>2.2437299999999998</v>
      </c>
      <c r="H94" s="49">
        <v>1.90286</v>
      </c>
      <c r="I94" s="49">
        <v>2.88056</v>
      </c>
      <c r="J94" s="48">
        <v>1.1711916666666666</v>
      </c>
      <c r="K94" s="48">
        <v>1.320809364418903</v>
      </c>
      <c r="L94" s="50">
        <v>-0.88672271579626372</v>
      </c>
      <c r="M94" s="51">
        <v>-0.88672271579626372</v>
      </c>
      <c r="N94" s="51">
        <v>-0.88672271579626372</v>
      </c>
      <c r="O94" s="51">
        <v>0.81203113956206852</v>
      </c>
      <c r="P94" s="51">
        <v>0.55395453200412059</v>
      </c>
      <c r="Q94" s="52">
        <v>1.2941824758226022</v>
      </c>
      <c r="R94" s="51">
        <v>-0.88672271579626372</v>
      </c>
      <c r="S94" s="52">
        <v>0.88672271579626383</v>
      </c>
      <c r="T94" s="15">
        <v>-1</v>
      </c>
    </row>
    <row r="95" spans="1:20" x14ac:dyDescent="0.2">
      <c r="A95" s="13" t="s">
        <v>111</v>
      </c>
      <c r="B95" s="13" t="s">
        <v>17</v>
      </c>
      <c r="C95" s="13" t="s">
        <v>18</v>
      </c>
      <c r="D95" s="14">
        <v>0.24602399999999999</v>
      </c>
      <c r="E95" s="14">
        <v>0.38943699999999998</v>
      </c>
      <c r="F95" s="14">
        <v>0.34650399999999998</v>
      </c>
      <c r="G95" s="14">
        <v>1.24634</v>
      </c>
      <c r="H95" s="14">
        <v>1.98569</v>
      </c>
      <c r="I95" s="14">
        <v>1.4979800000000001</v>
      </c>
      <c r="J95" s="13">
        <v>0.95199583333333326</v>
      </c>
      <c r="K95" s="13">
        <v>0.72591319860667003</v>
      </c>
      <c r="L95" s="25">
        <v>-0.97252927028794545</v>
      </c>
      <c r="M95" s="26">
        <v>-0.7749670820328356</v>
      </c>
      <c r="N95" s="26">
        <v>-0.834110516926162</v>
      </c>
      <c r="O95" s="26">
        <v>0.4054812162551058</v>
      </c>
      <c r="P95" s="26">
        <v>1.4239914202562465</v>
      </c>
      <c r="Q95" s="27">
        <v>0.75213423273559155</v>
      </c>
      <c r="R95" s="26">
        <v>-0.86053562308231424</v>
      </c>
      <c r="S95" s="27">
        <v>0.86053562308231457</v>
      </c>
      <c r="T95" s="15">
        <f t="shared" si="1"/>
        <v>-2.2680997248047774</v>
      </c>
    </row>
    <row r="96" spans="1:20" x14ac:dyDescent="0.2">
      <c r="A96" s="13" t="s">
        <v>118</v>
      </c>
      <c r="B96" s="13" t="s">
        <v>17</v>
      </c>
      <c r="C96" s="13" t="s">
        <v>18</v>
      </c>
      <c r="D96" s="14">
        <v>0.186552</v>
      </c>
      <c r="E96" s="14">
        <v>0.10362</v>
      </c>
      <c r="F96" s="14">
        <v>0.18546099999999999</v>
      </c>
      <c r="G96" s="14">
        <v>1.28424</v>
      </c>
      <c r="H96" s="14">
        <v>0.99142799999999998</v>
      </c>
      <c r="I96" s="14">
        <v>0.68150500000000003</v>
      </c>
      <c r="J96" s="13">
        <v>0.5721343333333333</v>
      </c>
      <c r="K96" s="13">
        <v>0.49245492893488924</v>
      </c>
      <c r="L96" s="25">
        <v>-0.78297994532676052</v>
      </c>
      <c r="M96" s="26">
        <v>-0.9513852046250485</v>
      </c>
      <c r="N96" s="26">
        <v>-0.78519537649801452</v>
      </c>
      <c r="O96" s="26">
        <v>1.4460321642162282</v>
      </c>
      <c r="P96" s="26">
        <v>0.85143561782098498</v>
      </c>
      <c r="Q96" s="27">
        <v>0.2220927444126107</v>
      </c>
      <c r="R96" s="26">
        <v>-0.83985350881660781</v>
      </c>
      <c r="S96" s="27">
        <v>0.83985350881660781</v>
      </c>
      <c r="T96" s="15">
        <f t="shared" si="1"/>
        <v>-2.6362979265940516</v>
      </c>
    </row>
    <row r="97" spans="1:20" x14ac:dyDescent="0.2">
      <c r="A97" s="53" t="s">
        <v>72</v>
      </c>
      <c r="B97" s="53" t="s">
        <v>17</v>
      </c>
      <c r="C97" s="53" t="s">
        <v>18</v>
      </c>
      <c r="D97" s="54">
        <v>8.8711500000000001</v>
      </c>
      <c r="E97" s="54">
        <v>12.2118</v>
      </c>
      <c r="F97" s="54">
        <v>12.647600000000001</v>
      </c>
      <c r="G97" s="54">
        <v>37.040700000000001</v>
      </c>
      <c r="H97" s="54">
        <v>44.976300000000002</v>
      </c>
      <c r="I97" s="54">
        <v>63.654600000000002</v>
      </c>
      <c r="J97" s="53">
        <v>29.900358333333333</v>
      </c>
      <c r="K97" s="53">
        <v>22.22785502873403</v>
      </c>
      <c r="L97" s="25">
        <v>-0.9460745675256923</v>
      </c>
      <c r="M97" s="26">
        <v>-0.79578341277047504</v>
      </c>
      <c r="N97" s="26">
        <v>-0.77617738243436574</v>
      </c>
      <c r="O97" s="26">
        <v>0.32123394980920661</v>
      </c>
      <c r="P97" s="26">
        <v>0.67824545585608431</v>
      </c>
      <c r="Q97" s="27">
        <v>1.5185559570652427</v>
      </c>
      <c r="R97" s="26">
        <v>-0.83934512091017766</v>
      </c>
      <c r="S97" s="27">
        <v>0.83934512091017799</v>
      </c>
      <c r="T97" s="15">
        <f t="shared" si="1"/>
        <v>-2.110591890526575</v>
      </c>
    </row>
    <row r="98" spans="1:20" x14ac:dyDescent="0.2">
      <c r="A98" t="s">
        <v>88</v>
      </c>
      <c r="B98" t="s">
        <v>17</v>
      </c>
      <c r="C98" t="s">
        <v>18</v>
      </c>
      <c r="D98" s="8">
        <v>43.2438</v>
      </c>
      <c r="E98" s="8">
        <v>54.9527</v>
      </c>
      <c r="F98" s="8">
        <v>52.053699999999999</v>
      </c>
      <c r="G98" s="8">
        <v>68.023399999999995</v>
      </c>
      <c r="H98" s="8">
        <v>95.730500000000006</v>
      </c>
      <c r="I98" s="8">
        <v>92.304699999999997</v>
      </c>
      <c r="J98">
        <v>67.718133333333341</v>
      </c>
      <c r="K98">
        <v>21.893418583735755</v>
      </c>
      <c r="L98" s="2">
        <v>-1.1178854156433524</v>
      </c>
      <c r="M98" s="3">
        <v>-0.58307172470618918</v>
      </c>
      <c r="N98" s="3">
        <v>-0.71548594722297876</v>
      </c>
      <c r="O98" s="3">
        <v>1.3943307460143812E-2</v>
      </c>
      <c r="P98" s="3">
        <v>1.2794880141503608</v>
      </c>
      <c r="Q98" s="4">
        <v>1.1230117659620136</v>
      </c>
      <c r="R98" s="3">
        <v>-0.80548102919084019</v>
      </c>
      <c r="S98" s="4">
        <v>0.80548102919083941</v>
      </c>
      <c r="T98" s="31">
        <f t="shared" si="1"/>
        <v>-0.76910710301761087</v>
      </c>
    </row>
    <row r="99" spans="1:20" x14ac:dyDescent="0.2">
      <c r="A99" s="13" t="s">
        <v>34</v>
      </c>
      <c r="B99" s="13" t="s">
        <v>17</v>
      </c>
      <c r="C99" s="13" t="s">
        <v>18</v>
      </c>
      <c r="D99" s="14">
        <v>5.2605599999999999</v>
      </c>
      <c r="E99" s="14">
        <v>4.3983999999999996</v>
      </c>
      <c r="F99" s="14">
        <v>3.81481</v>
      </c>
      <c r="G99" s="14">
        <v>18.797699999999999</v>
      </c>
      <c r="H99" s="14">
        <v>10.0039</v>
      </c>
      <c r="I99" s="14">
        <v>21.1585</v>
      </c>
      <c r="J99" s="13">
        <v>10.572311666666666</v>
      </c>
      <c r="K99" s="13">
        <v>7.6425546553084374</v>
      </c>
      <c r="L99" s="25">
        <v>-0.69502305266174047</v>
      </c>
      <c r="M99" s="26">
        <v>-0.80783349876056598</v>
      </c>
      <c r="N99" s="26">
        <v>-0.88419409103904512</v>
      </c>
      <c r="O99" s="26">
        <v>1.0762616303463484</v>
      </c>
      <c r="P99" s="26">
        <v>-7.4374563520046719E-2</v>
      </c>
      <c r="Q99" s="27">
        <v>1.3851635756350502</v>
      </c>
      <c r="R99" s="26">
        <v>-0.79568354748711723</v>
      </c>
      <c r="S99" s="27">
        <v>0.79568354748711734</v>
      </c>
      <c r="T99" s="15">
        <f t="shared" si="1"/>
        <v>-1.8906227870935837</v>
      </c>
    </row>
    <row r="100" spans="1:20" x14ac:dyDescent="0.2">
      <c r="A100" s="13" t="s">
        <v>68</v>
      </c>
      <c r="B100" s="13" t="s">
        <v>17</v>
      </c>
      <c r="C100" s="13" t="s">
        <v>18</v>
      </c>
      <c r="D100" s="14">
        <v>1.9789299999999999E-2</v>
      </c>
      <c r="E100" s="14">
        <v>0</v>
      </c>
      <c r="F100" s="14">
        <v>5.8676300000000001E-2</v>
      </c>
      <c r="G100" s="14">
        <v>0.91219099999999997</v>
      </c>
      <c r="H100" s="14">
        <v>0.61023099999999997</v>
      </c>
      <c r="I100" s="14">
        <v>1.7729299999999999</v>
      </c>
      <c r="J100" s="13">
        <v>0.56230293333333325</v>
      </c>
      <c r="K100" s="13">
        <v>0.70064000318373976</v>
      </c>
      <c r="L100" s="25">
        <v>-0.77431153069782888</v>
      </c>
      <c r="M100" s="26">
        <v>-0.80255613550211713</v>
      </c>
      <c r="N100" s="26">
        <v>-0.7188094185956142</v>
      </c>
      <c r="O100" s="26">
        <v>0.49938351375422407</v>
      </c>
      <c r="P100" s="26">
        <v>6.8406123613952124E-2</v>
      </c>
      <c r="Q100" s="27">
        <v>1.7278874474273844</v>
      </c>
      <c r="R100" s="26">
        <v>-0.76522569493185344</v>
      </c>
      <c r="S100" s="27">
        <v>0.76522569493185355</v>
      </c>
      <c r="T100" s="15">
        <f t="shared" si="1"/>
        <v>-5.3922284651820274</v>
      </c>
    </row>
    <row r="101" spans="1:20" x14ac:dyDescent="0.2">
      <c r="A101" t="s">
        <v>65</v>
      </c>
      <c r="B101" t="s">
        <v>17</v>
      </c>
      <c r="C101" t="s">
        <v>18</v>
      </c>
      <c r="D101" s="8">
        <v>79.758099999999999</v>
      </c>
      <c r="E101" s="8">
        <v>87.661900000000003</v>
      </c>
      <c r="F101" s="8">
        <v>68.745599999999996</v>
      </c>
      <c r="G101" s="8">
        <v>97.596000000000004</v>
      </c>
      <c r="H101" s="8">
        <v>118.026</v>
      </c>
      <c r="I101" s="8">
        <v>99.289000000000001</v>
      </c>
      <c r="J101">
        <v>91.846100000000021</v>
      </c>
      <c r="K101">
        <v>17.152875259384277</v>
      </c>
      <c r="L101" s="2">
        <v>-0.70472150104319797</v>
      </c>
      <c r="M101" s="3">
        <v>-0.2439357796711579</v>
      </c>
      <c r="N101" s="3">
        <v>-1.3467421438491383</v>
      </c>
      <c r="O101" s="3">
        <v>0.3352149370324507</v>
      </c>
      <c r="P101" s="3">
        <v>1.526268896853141</v>
      </c>
      <c r="Q101" s="4">
        <v>0.43391559067789498</v>
      </c>
      <c r="R101" s="3">
        <v>-0.76513314152116474</v>
      </c>
      <c r="S101" s="4">
        <v>0.7651331415211623</v>
      </c>
      <c r="T101" s="31">
        <f t="shared" si="1"/>
        <v>-0.41514531606503274</v>
      </c>
    </row>
    <row r="102" spans="1:20" x14ac:dyDescent="0.2">
      <c r="A102" s="48" t="s">
        <v>62</v>
      </c>
      <c r="B102" s="48" t="s">
        <v>17</v>
      </c>
      <c r="C102" s="48" t="s">
        <v>18</v>
      </c>
      <c r="D102" s="49">
        <v>0</v>
      </c>
      <c r="E102" s="49">
        <v>0</v>
      </c>
      <c r="F102" s="49">
        <v>0</v>
      </c>
      <c r="G102" s="49">
        <v>0.87478400000000001</v>
      </c>
      <c r="H102" s="49">
        <v>0.71337399999999995</v>
      </c>
      <c r="I102" s="49">
        <v>1.9656</v>
      </c>
      <c r="J102" s="48">
        <v>0.59229300000000007</v>
      </c>
      <c r="K102" s="48">
        <v>0.77882820742934067</v>
      </c>
      <c r="L102" s="50">
        <v>-0.76049248646882883</v>
      </c>
      <c r="M102" s="51">
        <v>-0.76049248646882883</v>
      </c>
      <c r="N102" s="51">
        <v>-0.76049248646882883</v>
      </c>
      <c r="O102" s="51">
        <v>0.36271285157019556</v>
      </c>
      <c r="P102" s="51">
        <v>0.1554656069785261</v>
      </c>
      <c r="Q102" s="52">
        <v>1.7632990008577645</v>
      </c>
      <c r="R102" s="51">
        <v>-0.76049248646882883</v>
      </c>
      <c r="S102" s="52">
        <v>0.76049248646882861</v>
      </c>
      <c r="T102" s="15">
        <v>-1</v>
      </c>
    </row>
    <row r="103" spans="1:20" x14ac:dyDescent="0.2">
      <c r="A103" s="48" t="s">
        <v>63</v>
      </c>
      <c r="B103" s="48" t="s">
        <v>17</v>
      </c>
      <c r="C103" s="48" t="s">
        <v>18</v>
      </c>
      <c r="D103" s="49">
        <v>0</v>
      </c>
      <c r="E103" s="49">
        <v>0</v>
      </c>
      <c r="F103" s="49">
        <v>0</v>
      </c>
      <c r="G103" s="49">
        <v>0.15665100000000001</v>
      </c>
      <c r="H103" s="49">
        <v>4.0432999999999997E-2</v>
      </c>
      <c r="I103" s="49">
        <v>8.2388500000000003E-2</v>
      </c>
      <c r="J103" s="48">
        <v>4.6578750000000002E-2</v>
      </c>
      <c r="K103" s="48">
        <v>6.3158132513358889E-2</v>
      </c>
      <c r="L103" s="50">
        <v>-0.73749409848601688</v>
      </c>
      <c r="M103" s="51">
        <v>-0.73749409848601688</v>
      </c>
      <c r="N103" s="51">
        <v>-0.73749409848601688</v>
      </c>
      <c r="O103" s="51">
        <v>1.7428040637002382</v>
      </c>
      <c r="P103" s="51">
        <v>-9.7307341991153512E-2</v>
      </c>
      <c r="Q103" s="52">
        <v>0.56698557374896585</v>
      </c>
      <c r="R103" s="51">
        <v>-0.73749409848601688</v>
      </c>
      <c r="S103" s="52">
        <v>0.73749409848601688</v>
      </c>
      <c r="T103" s="15">
        <v>-1</v>
      </c>
    </row>
    <row r="104" spans="1:20" x14ac:dyDescent="0.2">
      <c r="A104" s="13" t="s">
        <v>29</v>
      </c>
      <c r="B104" s="13" t="s">
        <v>17</v>
      </c>
      <c r="C104" s="13" t="s">
        <v>18</v>
      </c>
      <c r="D104" s="14">
        <v>0.43769999999999998</v>
      </c>
      <c r="E104" s="14">
        <v>0.25007400000000002</v>
      </c>
      <c r="F104" s="14">
        <v>0.62161900000000003</v>
      </c>
      <c r="G104" s="14">
        <v>0.90148399999999995</v>
      </c>
      <c r="H104" s="14">
        <v>1.24617</v>
      </c>
      <c r="I104" s="14">
        <v>2.46191</v>
      </c>
      <c r="J104" s="13">
        <v>0.98649283333333349</v>
      </c>
      <c r="K104" s="13">
        <v>0.80350902105512578</v>
      </c>
      <c r="L104" s="25">
        <v>-0.6829952358377851</v>
      </c>
      <c r="M104" s="26">
        <v>-0.91650350405065395</v>
      </c>
      <c r="N104" s="26">
        <v>-0.45410048147835397</v>
      </c>
      <c r="O104" s="26">
        <v>-0.10579698684864099</v>
      </c>
      <c r="P104" s="26">
        <v>0.32317890634964136</v>
      </c>
      <c r="Q104" s="27">
        <v>1.8362173018657915</v>
      </c>
      <c r="R104" s="26">
        <v>-0.68453307378893102</v>
      </c>
      <c r="S104" s="27">
        <v>0.68453307378893058</v>
      </c>
      <c r="T104" s="15">
        <f t="shared" si="1"/>
        <v>-1.8157321269951201</v>
      </c>
    </row>
    <row r="105" spans="1:20" x14ac:dyDescent="0.2">
      <c r="A105" t="s">
        <v>114</v>
      </c>
      <c r="B105" t="s">
        <v>17</v>
      </c>
      <c r="C105" t="s">
        <v>18</v>
      </c>
      <c r="D105" s="8">
        <v>0.18706700000000001</v>
      </c>
      <c r="E105" s="8">
        <v>0.33250600000000002</v>
      </c>
      <c r="F105" s="8">
        <v>0.144645</v>
      </c>
      <c r="G105" s="8">
        <v>0.36446200000000001</v>
      </c>
      <c r="H105" s="8">
        <v>0.34796100000000002</v>
      </c>
      <c r="I105" s="8">
        <v>0.303726</v>
      </c>
      <c r="J105">
        <v>0.28006116666666664</v>
      </c>
      <c r="K105">
        <v>9.1684051113411658E-2</v>
      </c>
      <c r="L105" s="2">
        <v>-1.014289459697133</v>
      </c>
      <c r="M105" s="3">
        <v>0.57201697237897997</v>
      </c>
      <c r="N105" s="3">
        <v>-1.4769871643123522</v>
      </c>
      <c r="O105" s="3">
        <v>0.92056178046638593</v>
      </c>
      <c r="P105" s="3">
        <v>0.74058500370301494</v>
      </c>
      <c r="Q105" s="4">
        <v>0.25811286746110673</v>
      </c>
      <c r="R105" s="3">
        <v>-0.63975321721016842</v>
      </c>
      <c r="S105" s="4">
        <v>0.6397532172101692</v>
      </c>
      <c r="T105" s="31">
        <f t="shared" si="1"/>
        <v>-0.61338323808696782</v>
      </c>
    </row>
    <row r="106" spans="1:20" x14ac:dyDescent="0.2">
      <c r="A106" s="48" t="s">
        <v>152</v>
      </c>
      <c r="B106" s="48" t="s">
        <v>17</v>
      </c>
      <c r="C106" s="48" t="s">
        <v>18</v>
      </c>
      <c r="D106" s="49">
        <v>0</v>
      </c>
      <c r="E106" s="49">
        <v>0</v>
      </c>
      <c r="F106" s="49">
        <v>0</v>
      </c>
      <c r="G106" s="49">
        <v>0</v>
      </c>
      <c r="H106" s="49">
        <v>5.6789800000000001E-2</v>
      </c>
      <c r="I106" s="49">
        <v>0.14447499999999999</v>
      </c>
      <c r="J106" s="48">
        <v>3.354413333333333E-2</v>
      </c>
      <c r="K106" s="48">
        <v>5.8901364538579797E-2</v>
      </c>
      <c r="L106" s="50">
        <v>-0.56949671023940818</v>
      </c>
      <c r="M106" s="51">
        <v>-0.56949671023940818</v>
      </c>
      <c r="N106" s="51">
        <v>-0.56949671023940818</v>
      </c>
      <c r="O106" s="51">
        <v>-0.56949671023940818</v>
      </c>
      <c r="P106" s="51">
        <v>0.39465412811346662</v>
      </c>
      <c r="Q106" s="52">
        <v>1.8833327128441661</v>
      </c>
      <c r="R106" s="51">
        <v>-0.56949671023940818</v>
      </c>
      <c r="S106" s="52">
        <v>0.56949671023940818</v>
      </c>
      <c r="T106" s="15">
        <v>-1</v>
      </c>
    </row>
    <row r="107" spans="1:20" x14ac:dyDescent="0.2">
      <c r="A107" s="48" t="s">
        <v>73</v>
      </c>
      <c r="B107" s="48" t="s">
        <v>17</v>
      </c>
      <c r="C107" s="48" t="s">
        <v>18</v>
      </c>
      <c r="D107" s="49">
        <v>0</v>
      </c>
      <c r="E107" s="49">
        <v>0</v>
      </c>
      <c r="F107" s="49">
        <v>0</v>
      </c>
      <c r="G107" s="49">
        <v>0</v>
      </c>
      <c r="H107" s="49">
        <v>4.8238499999999997E-2</v>
      </c>
      <c r="I107" s="49">
        <v>0.12282800000000001</v>
      </c>
      <c r="J107" s="48">
        <v>2.8511083333333336E-2</v>
      </c>
      <c r="K107" s="48">
        <v>5.0072705597377774E-2</v>
      </c>
      <c r="L107" s="50">
        <v>-0.56939370447812221</v>
      </c>
      <c r="M107" s="51">
        <v>-0.56939370447812221</v>
      </c>
      <c r="N107" s="51">
        <v>-0.56939370447812221</v>
      </c>
      <c r="O107" s="51">
        <v>-0.56939370447812221</v>
      </c>
      <c r="P107" s="51">
        <v>0.39397544892600639</v>
      </c>
      <c r="Q107" s="52">
        <v>1.8835993689864821</v>
      </c>
      <c r="R107" s="51">
        <v>-0.56939370447812221</v>
      </c>
      <c r="S107" s="52">
        <v>0.5693937044781221</v>
      </c>
      <c r="T107" s="15">
        <v>-1</v>
      </c>
    </row>
    <row r="108" spans="1:20" x14ac:dyDescent="0.2">
      <c r="A108" t="s">
        <v>52</v>
      </c>
      <c r="B108" t="s">
        <v>17</v>
      </c>
      <c r="C108" t="s">
        <v>18</v>
      </c>
      <c r="D108" s="8">
        <v>14.3683</v>
      </c>
      <c r="E108" s="8">
        <v>21.494299999999999</v>
      </c>
      <c r="F108" s="8">
        <v>12.262</v>
      </c>
      <c r="G108" s="8">
        <v>13.3908</v>
      </c>
      <c r="H108" s="8">
        <v>20.111899999999999</v>
      </c>
      <c r="I108" s="8">
        <v>18.2394</v>
      </c>
      <c r="J108">
        <v>16.644449999999999</v>
      </c>
      <c r="K108">
        <v>3.8225929727084473</v>
      </c>
      <c r="L108" s="2">
        <v>-0.59544660293435947</v>
      </c>
      <c r="M108" s="3">
        <v>1.2687330392290508</v>
      </c>
      <c r="N108" s="3">
        <v>-1.1464600158292217</v>
      </c>
      <c r="O108" s="3">
        <v>-0.8511630778452115</v>
      </c>
      <c r="P108" s="3">
        <v>0.90709369916075155</v>
      </c>
      <c r="Q108" s="4">
        <v>0.41724295821899138</v>
      </c>
      <c r="R108" s="3">
        <v>-0.15772452651151014</v>
      </c>
      <c r="S108" s="4">
        <v>0.15772452651151048</v>
      </c>
      <c r="T108" s="31">
        <f t="shared" si="1"/>
        <v>-0.10456405888246756</v>
      </c>
    </row>
    <row r="109" spans="1:20" x14ac:dyDescent="0.2">
      <c r="A109" t="s">
        <v>45</v>
      </c>
      <c r="B109" t="s">
        <v>17</v>
      </c>
      <c r="C109" t="s">
        <v>18</v>
      </c>
      <c r="D109" s="8">
        <v>7.8173000000000006E-2</v>
      </c>
      <c r="E109" s="8">
        <v>0.13672899999999999</v>
      </c>
      <c r="F109" s="8">
        <v>0.116589</v>
      </c>
      <c r="G109" s="8">
        <v>2.2852500000000001E-2</v>
      </c>
      <c r="H109" s="8">
        <v>2.3365299999999999E-2</v>
      </c>
      <c r="I109" s="8">
        <v>0.238014</v>
      </c>
      <c r="J109">
        <v>0.10262046666666665</v>
      </c>
      <c r="K109">
        <v>8.1156527049934021E-2</v>
      </c>
      <c r="L109" s="2">
        <v>-0.30123845308984937</v>
      </c>
      <c r="M109" s="3">
        <v>0.42028083967105972</v>
      </c>
      <c r="N109" s="3">
        <v>0.17211842153791015</v>
      </c>
      <c r="O109" s="3">
        <v>-0.98289034248085783</v>
      </c>
      <c r="P109" s="3">
        <v>-0.97657168865669308</v>
      </c>
      <c r="Q109" s="4">
        <v>1.6683012230184318</v>
      </c>
      <c r="R109" s="3">
        <v>9.705360270637349E-2</v>
      </c>
      <c r="S109" s="4">
        <v>-9.7053602706373088E-2</v>
      </c>
      <c r="T109" s="31">
        <f t="shared" si="1"/>
        <v>0.221901728541016</v>
      </c>
    </row>
    <row r="110" spans="1:20" x14ac:dyDescent="0.2">
      <c r="A110" t="s">
        <v>130</v>
      </c>
      <c r="B110" t="s">
        <v>17</v>
      </c>
      <c r="C110" t="s">
        <v>18</v>
      </c>
      <c r="D110" s="8">
        <v>2.1017500000000001E-2</v>
      </c>
      <c r="E110" s="8">
        <v>4.2030600000000001E-2</v>
      </c>
      <c r="F110" s="8">
        <v>0.16715099999999999</v>
      </c>
      <c r="G110" s="8">
        <v>2.4567599999999998E-2</v>
      </c>
      <c r="H110" s="8">
        <v>7.5398800000000002E-2</v>
      </c>
      <c r="I110" s="8">
        <v>5.1185399999999999E-2</v>
      </c>
      <c r="J110">
        <v>6.3558483333333332E-2</v>
      </c>
      <c r="K110">
        <v>5.4439268558951689E-2</v>
      </c>
      <c r="L110" s="2">
        <v>-0.78143928931128392</v>
      </c>
      <c r="M110" s="3">
        <v>-0.39544769617947789</v>
      </c>
      <c r="N110" s="3">
        <v>1.9029005974701416</v>
      </c>
      <c r="O110" s="3">
        <v>-0.71622717140496728</v>
      </c>
      <c r="P110" s="3">
        <v>0.21749588082442586</v>
      </c>
      <c r="Q110" s="4">
        <v>-0.22728232139883833</v>
      </c>
      <c r="R110" s="3">
        <v>0.24200453732645996</v>
      </c>
      <c r="S110" s="4">
        <v>-0.24200453732645991</v>
      </c>
      <c r="T110" s="31">
        <f t="shared" si="1"/>
        <v>0.60688403354970544</v>
      </c>
    </row>
    <row r="111" spans="1:20" x14ac:dyDescent="0.2">
      <c r="A111" t="s">
        <v>69</v>
      </c>
      <c r="B111" t="s">
        <v>17</v>
      </c>
      <c r="C111" t="s">
        <v>18</v>
      </c>
      <c r="D111" s="8">
        <v>4.4114699999999996</v>
      </c>
      <c r="E111" s="8">
        <v>4.0403599999999997</v>
      </c>
      <c r="F111" s="8">
        <v>3.4634900000000002</v>
      </c>
      <c r="G111" s="8">
        <v>3.9762900000000001</v>
      </c>
      <c r="H111" s="8">
        <v>3.72207</v>
      </c>
      <c r="I111" s="8">
        <v>3.4893000000000001</v>
      </c>
      <c r="J111">
        <v>3.8504966666666665</v>
      </c>
      <c r="K111">
        <v>0.36422348346402172</v>
      </c>
      <c r="L111" s="2">
        <v>1.5401899075756504</v>
      </c>
      <c r="M111" s="3">
        <v>0.52128251459131447</v>
      </c>
      <c r="N111" s="3">
        <v>-1.0625527574058664</v>
      </c>
      <c r="O111" s="3">
        <v>0.34537403282443652</v>
      </c>
      <c r="P111" s="3">
        <v>-0.35260402609199842</v>
      </c>
      <c r="Q111" s="4">
        <v>-0.99168967149353415</v>
      </c>
      <c r="R111" s="3">
        <v>0.33297322158703274</v>
      </c>
      <c r="S111" s="4">
        <v>-0.33297322158703202</v>
      </c>
      <c r="T111" s="31">
        <f t="shared" si="1"/>
        <v>9.0909382142391318E-2</v>
      </c>
    </row>
    <row r="112" spans="1:20" x14ac:dyDescent="0.2">
      <c r="A112" t="s">
        <v>53</v>
      </c>
      <c r="B112" t="s">
        <v>17</v>
      </c>
      <c r="C112" t="s">
        <v>18</v>
      </c>
      <c r="D112" s="8">
        <v>8.2911899999999997E-2</v>
      </c>
      <c r="E112" s="8">
        <v>0.10362</v>
      </c>
      <c r="F112" s="8">
        <v>6.1820199999999999E-2</v>
      </c>
      <c r="G112" s="8">
        <v>2.42309E-2</v>
      </c>
      <c r="H112" s="8">
        <v>9.9142800000000003E-2</v>
      </c>
      <c r="I112" s="8">
        <v>5.0481900000000003E-2</v>
      </c>
      <c r="J112">
        <v>7.0367949999999999E-2</v>
      </c>
      <c r="K112">
        <v>3.0620868376631638E-2</v>
      </c>
      <c r="L112" s="2">
        <v>0.40965363378044928</v>
      </c>
      <c r="M112" s="3">
        <v>1.0859277271632295</v>
      </c>
      <c r="N112" s="3">
        <v>-0.27914786396205626</v>
      </c>
      <c r="O112" s="3">
        <v>-1.5067191900804995</v>
      </c>
      <c r="P112" s="3">
        <v>0.93971371569460693</v>
      </c>
      <c r="Q112" s="4">
        <v>-0.64942802259572963</v>
      </c>
      <c r="R112" s="3">
        <v>0.40547783232720747</v>
      </c>
      <c r="S112" s="4">
        <v>-0.40547783232720741</v>
      </c>
      <c r="T112" s="31">
        <f t="shared" si="1"/>
        <v>0.51449740793295262</v>
      </c>
    </row>
    <row r="113" spans="1:20" x14ac:dyDescent="0.2">
      <c r="A113" s="40" t="s">
        <v>41</v>
      </c>
      <c r="B113" s="40" t="s">
        <v>17</v>
      </c>
      <c r="C113" s="40" t="s">
        <v>18</v>
      </c>
      <c r="D113" s="41">
        <v>0.17913200000000001</v>
      </c>
      <c r="E113" s="41">
        <v>0</v>
      </c>
      <c r="F113" s="41">
        <v>0</v>
      </c>
      <c r="G113" s="41">
        <v>0</v>
      </c>
      <c r="H113" s="41">
        <v>0</v>
      </c>
      <c r="I113" s="41">
        <v>0</v>
      </c>
      <c r="J113" s="40">
        <v>2.9855333333333334E-2</v>
      </c>
      <c r="K113" s="40">
        <v>7.3130332767372713E-2</v>
      </c>
      <c r="L113" s="42">
        <v>2.0412414523193152</v>
      </c>
      <c r="M113" s="43">
        <v>-0.40824829046386302</v>
      </c>
      <c r="N113" s="43">
        <v>-0.40824829046386302</v>
      </c>
      <c r="O113" s="43">
        <v>-0.40824829046386302</v>
      </c>
      <c r="P113" s="43">
        <v>-0.40824829046386302</v>
      </c>
      <c r="Q113" s="44">
        <v>-0.40824829046386302</v>
      </c>
      <c r="R113" s="43">
        <v>0.40824829046386296</v>
      </c>
      <c r="S113" s="44">
        <v>-0.40824829046386296</v>
      </c>
      <c r="T113" s="15">
        <v>1</v>
      </c>
    </row>
    <row r="114" spans="1:20" x14ac:dyDescent="0.2">
      <c r="A114" s="40" t="s">
        <v>134</v>
      </c>
      <c r="B114" s="40" t="s">
        <v>17</v>
      </c>
      <c r="C114" s="40" t="s">
        <v>18</v>
      </c>
      <c r="D114" s="41">
        <v>0</v>
      </c>
      <c r="E114" s="41">
        <v>6.4311300000000002E-2</v>
      </c>
      <c r="F114" s="41">
        <v>0.127858</v>
      </c>
      <c r="G114" s="41">
        <v>0</v>
      </c>
      <c r="H114" s="41">
        <v>0</v>
      </c>
      <c r="I114" s="41">
        <v>0</v>
      </c>
      <c r="J114" s="40">
        <v>3.2028216666666665E-2</v>
      </c>
      <c r="K114" s="40">
        <v>5.3532740439115087E-2</v>
      </c>
      <c r="L114" s="42">
        <v>-0.59829211813084049</v>
      </c>
      <c r="M114" s="43">
        <v>0.6030530674970801</v>
      </c>
      <c r="N114" s="43">
        <v>1.7901154050262822</v>
      </c>
      <c r="O114" s="43">
        <v>-0.59829211813084049</v>
      </c>
      <c r="P114" s="43">
        <v>-0.59829211813084049</v>
      </c>
      <c r="Q114" s="44">
        <v>-0.59829211813084049</v>
      </c>
      <c r="R114" s="43">
        <v>0.5982921181308406</v>
      </c>
      <c r="S114" s="44">
        <v>-0.59829211813084049</v>
      </c>
      <c r="T114" s="15">
        <v>1</v>
      </c>
    </row>
    <row r="115" spans="1:20" x14ac:dyDescent="0.2">
      <c r="A115" s="9" t="s">
        <v>120</v>
      </c>
      <c r="B115" s="9" t="s">
        <v>17</v>
      </c>
      <c r="C115" s="9" t="s">
        <v>18</v>
      </c>
      <c r="D115" s="10">
        <v>0.103926</v>
      </c>
      <c r="E115" s="10">
        <v>2.0781600000000001E-2</v>
      </c>
      <c r="F115" s="10">
        <v>6.19906E-2</v>
      </c>
      <c r="G115" s="10">
        <v>2.42975E-2</v>
      </c>
      <c r="H115" s="10">
        <v>0</v>
      </c>
      <c r="I115" s="10">
        <v>0</v>
      </c>
      <c r="J115" s="9">
        <v>3.5165950000000001E-2</v>
      </c>
      <c r="K115" s="9">
        <v>4.0609917834822075E-2</v>
      </c>
      <c r="L115" s="19">
        <v>1.6931836769450401</v>
      </c>
      <c r="M115" s="20">
        <v>-0.35420780850892908</v>
      </c>
      <c r="N115" s="20">
        <v>0.66054430617435222</v>
      </c>
      <c r="O115" s="20">
        <v>-0.26763043560458905</v>
      </c>
      <c r="P115" s="20">
        <v>-0.86594486950293714</v>
      </c>
      <c r="Q115" s="21">
        <v>-0.86594486950293714</v>
      </c>
      <c r="R115" s="20">
        <v>0.6665067248701545</v>
      </c>
      <c r="S115" s="21">
        <v>-0.6665067248701545</v>
      </c>
      <c r="T115" s="15">
        <f t="shared" si="1"/>
        <v>2.941828232386285</v>
      </c>
    </row>
    <row r="116" spans="1:20" x14ac:dyDescent="0.2">
      <c r="A116" s="9" t="s">
        <v>61</v>
      </c>
      <c r="B116" s="9" t="s">
        <v>17</v>
      </c>
      <c r="C116" s="9" t="s">
        <v>18</v>
      </c>
      <c r="D116" s="10">
        <v>4.9808700000000004</v>
      </c>
      <c r="E116" s="10">
        <v>5.2784599999999999</v>
      </c>
      <c r="F116" s="10">
        <v>3.9822500000000001</v>
      </c>
      <c r="G116" s="10">
        <v>1.9323900000000001</v>
      </c>
      <c r="H116" s="10">
        <v>1.3940300000000001</v>
      </c>
      <c r="I116" s="10">
        <v>3.5357699999999999</v>
      </c>
      <c r="J116" s="9">
        <v>3.5172950000000003</v>
      </c>
      <c r="K116" s="9">
        <v>1.5799023093058637</v>
      </c>
      <c r="L116" s="19">
        <v>0.9263705682176181</v>
      </c>
      <c r="M116" s="20">
        <v>1.1147303156824768</v>
      </c>
      <c r="N116" s="20">
        <v>0.29429351249209806</v>
      </c>
      <c r="O116" s="20">
        <v>-1.00316645571354</v>
      </c>
      <c r="P116" s="20">
        <v>-1.3439217016733551</v>
      </c>
      <c r="Q116" s="21">
        <v>1.1693760994701399E-2</v>
      </c>
      <c r="R116" s="20">
        <v>0.77846479879739772</v>
      </c>
      <c r="S116" s="21">
        <v>-0.77846479879739794</v>
      </c>
      <c r="T116" s="15">
        <f t="shared" si="1"/>
        <v>1.0533682348988305</v>
      </c>
    </row>
    <row r="117" spans="1:20" x14ac:dyDescent="0.2">
      <c r="A117" t="s">
        <v>115</v>
      </c>
      <c r="B117" t="s">
        <v>17</v>
      </c>
      <c r="C117" t="s">
        <v>18</v>
      </c>
      <c r="D117" s="8">
        <v>9.9611599999999996</v>
      </c>
      <c r="E117" s="8">
        <v>10.8589</v>
      </c>
      <c r="F117" s="8">
        <v>11.2196</v>
      </c>
      <c r="G117" s="8">
        <v>5.9962299999999997</v>
      </c>
      <c r="H117" s="8">
        <v>7.7966199999999999</v>
      </c>
      <c r="I117" s="8">
        <v>7.9385399999999997</v>
      </c>
      <c r="J117">
        <v>8.9618416666666647</v>
      </c>
      <c r="K117">
        <v>2.044244629885748</v>
      </c>
      <c r="L117" s="2">
        <v>0.48884478830167521</v>
      </c>
      <c r="M117" s="3">
        <v>0.92799966579311077</v>
      </c>
      <c r="N117" s="3">
        <v>1.1044462586943522</v>
      </c>
      <c r="O117" s="3">
        <v>-1.4507127098738726</v>
      </c>
      <c r="P117" s="3">
        <v>-0.57000108970900831</v>
      </c>
      <c r="Q117" s="4">
        <v>-0.50057691320625208</v>
      </c>
      <c r="R117" s="3">
        <v>0.84043023759637947</v>
      </c>
      <c r="S117" s="4">
        <v>-0.84043023759637769</v>
      </c>
      <c r="T117" s="31">
        <f t="shared" si="1"/>
        <v>0.56007838191923454</v>
      </c>
    </row>
    <row r="118" spans="1:20" x14ac:dyDescent="0.2">
      <c r="A118" s="9" t="s">
        <v>16</v>
      </c>
      <c r="B118" s="9" t="s">
        <v>17</v>
      </c>
      <c r="C118" s="9" t="s">
        <v>18</v>
      </c>
      <c r="D118" s="10">
        <v>0.60780999999999996</v>
      </c>
      <c r="E118" s="10">
        <v>0.73347300000000004</v>
      </c>
      <c r="F118" s="10">
        <v>0.52089600000000003</v>
      </c>
      <c r="G118" s="10">
        <v>2.44995E-2</v>
      </c>
      <c r="H118" s="10">
        <v>0.12531400000000001</v>
      </c>
      <c r="I118" s="10">
        <v>0.255216</v>
      </c>
      <c r="J118" s="9">
        <v>0.37786808333333327</v>
      </c>
      <c r="K118" s="9">
        <v>0.28407097035255408</v>
      </c>
      <c r="L118" s="19">
        <v>0.80945235756153111</v>
      </c>
      <c r="M118" s="20">
        <v>1.2518171646519654</v>
      </c>
      <c r="N118" s="20">
        <v>0.50349360404253218</v>
      </c>
      <c r="O118" s="20">
        <v>-1.2439447187960653</v>
      </c>
      <c r="P118" s="20">
        <v>-0.88905277093218682</v>
      </c>
      <c r="Q118" s="21">
        <v>-0.43176563652777522</v>
      </c>
      <c r="R118" s="20">
        <v>0.85492104208534292</v>
      </c>
      <c r="S118" s="21">
        <v>-0.85492104208534248</v>
      </c>
      <c r="T118" s="15">
        <f t="shared" si="1"/>
        <v>2.2008928626301385</v>
      </c>
    </row>
    <row r="119" spans="1:20" ht="16" thickBot="1" x14ac:dyDescent="0.25">
      <c r="A119" s="40" t="s">
        <v>110</v>
      </c>
      <c r="B119" s="40" t="s">
        <v>17</v>
      </c>
      <c r="C119" s="40" t="s">
        <v>18</v>
      </c>
      <c r="D119" s="41">
        <v>0.12681400000000001</v>
      </c>
      <c r="E119" s="41">
        <v>0.10567</v>
      </c>
      <c r="F119" s="41">
        <v>0.14707700000000001</v>
      </c>
      <c r="G119" s="41">
        <v>0</v>
      </c>
      <c r="H119" s="41">
        <v>0</v>
      </c>
      <c r="I119" s="41">
        <v>0</v>
      </c>
      <c r="J119" s="40">
        <v>6.3260166666666673E-2</v>
      </c>
      <c r="K119" s="40">
        <v>7.052445151127848E-2</v>
      </c>
      <c r="L119" s="45">
        <v>0.90116026387202197</v>
      </c>
      <c r="M119" s="46">
        <v>0.60134935365716413</v>
      </c>
      <c r="N119" s="46">
        <v>1.1884790528279274</v>
      </c>
      <c r="O119" s="46">
        <v>-0.89699622345237129</v>
      </c>
      <c r="P119" s="46">
        <v>-0.89699622345237129</v>
      </c>
      <c r="Q119" s="47">
        <v>-0.89699622345237129</v>
      </c>
      <c r="R119" s="46">
        <v>0.89699622345237129</v>
      </c>
      <c r="S119" s="47">
        <v>-0.89699622345237129</v>
      </c>
      <c r="T119" s="15">
        <v>1</v>
      </c>
    </row>
    <row r="120" spans="1:20" x14ac:dyDescent="0.2">
      <c r="A120" s="13" t="s">
        <v>122</v>
      </c>
      <c r="B120" s="13" t="s">
        <v>99</v>
      </c>
      <c r="C120" s="13" t="s">
        <v>100</v>
      </c>
      <c r="D120" s="14">
        <v>5.1326900000000002</v>
      </c>
      <c r="E120" s="14">
        <v>4.7638499999999997</v>
      </c>
      <c r="F120" s="14">
        <v>3.56521</v>
      </c>
      <c r="G120" s="14">
        <v>15.072100000000001</v>
      </c>
      <c r="H120" s="14">
        <v>12.3713</v>
      </c>
      <c r="I120" s="14">
        <v>9.0373000000000001</v>
      </c>
      <c r="J120" s="13">
        <v>8.3237416666666668</v>
      </c>
      <c r="K120" s="13">
        <v>4.6461058359078153</v>
      </c>
      <c r="L120" s="22">
        <v>-0.68682285323858927</v>
      </c>
      <c r="M120" s="23">
        <v>-0.76620976628507864</v>
      </c>
      <c r="N120" s="23">
        <v>-1.0241978626250738</v>
      </c>
      <c r="O120" s="23">
        <v>1.4524762396022246</v>
      </c>
      <c r="P120" s="23">
        <v>0.87117221955028268</v>
      </c>
      <c r="Q120" s="24">
        <v>0.15358202299623447</v>
      </c>
      <c r="R120" s="23">
        <v>-0.82574349404958058</v>
      </c>
      <c r="S120" s="24">
        <v>0.82574349404958058</v>
      </c>
      <c r="T120" s="15">
        <f t="shared" si="1"/>
        <v>-1.4382674429822371</v>
      </c>
    </row>
    <row r="121" spans="1:20" x14ac:dyDescent="0.2">
      <c r="A121" s="13" t="s">
        <v>98</v>
      </c>
      <c r="B121" s="13" t="s">
        <v>99</v>
      </c>
      <c r="C121" s="13" t="s">
        <v>100</v>
      </c>
      <c r="D121" s="14">
        <v>8.3785200000000004E-2</v>
      </c>
      <c r="E121" s="14">
        <v>8.3672200000000002E-2</v>
      </c>
      <c r="F121" s="14">
        <v>0.11666600000000001</v>
      </c>
      <c r="G121" s="14">
        <v>0.13725499999999999</v>
      </c>
      <c r="H121" s="14">
        <v>0.34045300000000001</v>
      </c>
      <c r="I121" s="14">
        <v>0.22456000000000001</v>
      </c>
      <c r="J121" s="13">
        <v>0.16439856666666666</v>
      </c>
      <c r="K121" s="13">
        <v>0.10064292707344448</v>
      </c>
      <c r="L121" s="25">
        <v>-0.80098392416427644</v>
      </c>
      <c r="M121" s="26">
        <v>-0.80210670549909935</v>
      </c>
      <c r="N121" s="26">
        <v>-0.47427641519044522</v>
      </c>
      <c r="O121" s="26">
        <v>-0.26970168153852059</v>
      </c>
      <c r="P121" s="26">
        <v>1.7492976253051253</v>
      </c>
      <c r="Q121" s="27">
        <v>0.59777110108721654</v>
      </c>
      <c r="R121" s="26">
        <v>-0.69245568161794024</v>
      </c>
      <c r="S121" s="27">
        <v>0.69245568161794047</v>
      </c>
      <c r="T121" s="15">
        <f t="shared" si="1"/>
        <v>-1.3055040431524412</v>
      </c>
    </row>
    <row r="122" spans="1:20" x14ac:dyDescent="0.2">
      <c r="A122" t="s">
        <v>105</v>
      </c>
      <c r="B122" t="s">
        <v>99</v>
      </c>
      <c r="C122" t="s">
        <v>100</v>
      </c>
      <c r="D122" s="8">
        <v>1.0799099999999999</v>
      </c>
      <c r="E122" s="8">
        <v>1.80382</v>
      </c>
      <c r="F122" s="8">
        <v>2.2711800000000002</v>
      </c>
      <c r="G122" s="8">
        <v>1.32548</v>
      </c>
      <c r="H122" s="8">
        <v>1.41825</v>
      </c>
      <c r="I122" s="8">
        <v>1.8121</v>
      </c>
      <c r="J122">
        <v>1.6184566666666669</v>
      </c>
      <c r="K122">
        <v>0.42751739251949267</v>
      </c>
      <c r="L122" s="2">
        <v>-1.2597070343567645</v>
      </c>
      <c r="M122" s="3">
        <v>0.43358080063346538</v>
      </c>
      <c r="N122" s="3">
        <v>1.5267760908781562</v>
      </c>
      <c r="O122" s="3">
        <v>-0.68529765523705244</v>
      </c>
      <c r="P122" s="3">
        <v>-0.46830063564615898</v>
      </c>
      <c r="Q122" s="4">
        <v>0.45294843372835175</v>
      </c>
      <c r="R122" s="3">
        <v>0.23354995238495238</v>
      </c>
      <c r="S122" s="4">
        <v>-0.23354995238495321</v>
      </c>
      <c r="T122" s="31">
        <f t="shared" si="1"/>
        <v>0.17823332554407004</v>
      </c>
    </row>
    <row r="123" spans="1:20" ht="16" thickBot="1" x14ac:dyDescent="0.25">
      <c r="A123" t="s">
        <v>121</v>
      </c>
      <c r="B123" t="s">
        <v>99</v>
      </c>
      <c r="C123" t="s">
        <v>100</v>
      </c>
      <c r="D123" s="8">
        <v>75.240099999999998</v>
      </c>
      <c r="E123" s="8">
        <v>71.935900000000004</v>
      </c>
      <c r="F123" s="8">
        <v>66.876999999999995</v>
      </c>
      <c r="G123" s="8">
        <v>53.859200000000001</v>
      </c>
      <c r="H123" s="8">
        <v>59.305500000000002</v>
      </c>
      <c r="I123" s="8">
        <v>61.223399999999998</v>
      </c>
      <c r="J123">
        <v>64.740183333333334</v>
      </c>
      <c r="K123">
        <v>8.0856900765282127</v>
      </c>
      <c r="L123" s="5">
        <v>1.2985801542340414</v>
      </c>
      <c r="M123" s="6">
        <v>0.88993228760461285</v>
      </c>
      <c r="N123" s="6">
        <v>0.26427140373208013</v>
      </c>
      <c r="O123" s="6">
        <v>-1.3457086816769692</v>
      </c>
      <c r="P123" s="6">
        <v>-0.67213599357580689</v>
      </c>
      <c r="Q123" s="7">
        <v>-0.43493917031795915</v>
      </c>
      <c r="R123" s="6">
        <v>0.81759461519024479</v>
      </c>
      <c r="S123" s="7">
        <v>-0.81759461519024512</v>
      </c>
      <c r="T123" s="31">
        <f t="shared" si="1"/>
        <v>0.29566645938350072</v>
      </c>
    </row>
  </sheetData>
  <autoFilter ref="T1:T125" xr:uid="{00000000-0001-0000-0000-000000000000}"/>
  <sortState xmlns:xlrd2="http://schemas.microsoft.com/office/spreadsheetml/2017/richdata2" ref="A2:R123">
    <sortCondition ref="C2:C123"/>
    <sortCondition ref="R2:R123"/>
  </sortState>
  <conditionalFormatting sqref="L2:Q123">
    <cfRule type="colorScale" priority="6">
      <colorScale>
        <cfvo type="num" val="-2"/>
        <cfvo type="num" val="0"/>
        <cfvo type="num" val="2"/>
        <color rgb="FF00B0F0"/>
        <color theme="0"/>
        <color rgb="FFFF0000"/>
      </colorScale>
    </cfRule>
    <cfRule type="colorScale" priority="7">
      <colorScale>
        <cfvo type="num" val="-2"/>
        <cfvo type="num" val="0"/>
        <cfvo type="num" val="2"/>
        <color rgb="FF00B050"/>
        <color theme="0"/>
        <color rgb="FFFF0000"/>
      </colorScale>
    </cfRule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2:S123">
    <cfRule type="colorScale" priority="4">
      <colorScale>
        <cfvo type="min"/>
        <cfvo type="max"/>
        <color rgb="FFFCFCFF"/>
        <color rgb="FFF8696B"/>
      </colorScale>
    </cfRule>
  </conditionalFormatting>
  <conditionalFormatting sqref="T2:T123">
    <cfRule type="colorScale" priority="1">
      <colorScale>
        <cfvo type="num" val="-2"/>
        <cfvo type="num" val="0"/>
        <cfvo type="num" val="2"/>
        <color rgb="FF00FDFF"/>
        <color theme="0"/>
        <color rgb="FFFF9300"/>
      </colorScale>
    </cfRule>
    <cfRule type="colorScale" priority="2">
      <colorScale>
        <cfvo type="num" val="0"/>
        <cfvo type="max"/>
        <color theme="0"/>
        <color rgb="FFFFC000"/>
      </colorScale>
    </cfRule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9597-6DB8-864D-95D1-E43F0F393453}">
  <dimension ref="A1:S12"/>
  <sheetViews>
    <sheetView tabSelected="1" workbookViewId="0">
      <selection activeCell="S12" sqref="S12"/>
    </sheetView>
  </sheetViews>
  <sheetFormatPr baseColWidth="10" defaultRowHeight="15" x14ac:dyDescent="0.2"/>
  <cols>
    <col min="1" max="1" width="15.5" bestFit="1" customWidth="1"/>
    <col min="3" max="3" width="34.33203125" customWidth="1"/>
    <col min="4" max="9" width="6.6640625" bestFit="1" customWidth="1"/>
    <col min="10" max="10" width="6.33203125" bestFit="1" customWidth="1"/>
    <col min="19" max="19" width="61.6640625" bestFit="1" customWidth="1"/>
  </cols>
  <sheetData>
    <row r="1" spans="1:19" ht="16" thickBot="1" x14ac:dyDescent="0.25">
      <c r="A1" s="1" t="s">
        <v>0</v>
      </c>
      <c r="B1" s="1" t="s">
        <v>1</v>
      </c>
      <c r="C1" s="1" t="s">
        <v>2</v>
      </c>
      <c r="D1" s="78" t="s">
        <v>3</v>
      </c>
      <c r="E1" s="78" t="s">
        <v>4</v>
      </c>
      <c r="F1" s="78" t="s">
        <v>5</v>
      </c>
      <c r="G1" s="12" t="s">
        <v>6</v>
      </c>
      <c r="H1" s="12" t="s">
        <v>7</v>
      </c>
      <c r="I1" s="12" t="s">
        <v>8</v>
      </c>
      <c r="J1" s="1" t="s">
        <v>157</v>
      </c>
      <c r="K1" s="11" t="s">
        <v>3</v>
      </c>
      <c r="L1" s="11" t="s">
        <v>4</v>
      </c>
      <c r="M1" s="11" t="s">
        <v>5</v>
      </c>
      <c r="N1" s="12" t="s">
        <v>6</v>
      </c>
      <c r="O1" s="12" t="s">
        <v>7</v>
      </c>
      <c r="P1" s="12" t="s">
        <v>8</v>
      </c>
      <c r="Q1" s="11" t="s">
        <v>153</v>
      </c>
      <c r="R1" s="12" t="s">
        <v>154</v>
      </c>
      <c r="S1" s="12" t="s">
        <v>158</v>
      </c>
    </row>
    <row r="2" spans="1:19" x14ac:dyDescent="0.2">
      <c r="A2" s="64" t="s">
        <v>85</v>
      </c>
      <c r="B2" s="64" t="s">
        <v>13</v>
      </c>
      <c r="C2" s="64" t="s">
        <v>14</v>
      </c>
      <c r="D2" s="66">
        <v>9.0401199999999999</v>
      </c>
      <c r="E2" s="66">
        <v>8.5539500000000004</v>
      </c>
      <c r="F2" s="66">
        <v>7.9099300000000001</v>
      </c>
      <c r="G2" s="66">
        <v>33.457799999999999</v>
      </c>
      <c r="H2" s="66">
        <v>39.4084</v>
      </c>
      <c r="I2" s="66">
        <v>46.1128</v>
      </c>
      <c r="J2" s="67">
        <f>LOG(AVERAGE(D2:F2)/AVERAGE(G2:I2),2)</f>
        <v>-2.221911518270296</v>
      </c>
      <c r="K2" s="68">
        <v>-0.85782032679661424</v>
      </c>
      <c r="L2" s="69">
        <v>-0.88554878234618872</v>
      </c>
      <c r="M2" s="69">
        <v>-0.92228013134558606</v>
      </c>
      <c r="N2" s="69">
        <v>0.53482947574927553</v>
      </c>
      <c r="O2" s="69">
        <v>0.87421888191028563</v>
      </c>
      <c r="P2" s="70">
        <v>1.2566008828288275</v>
      </c>
      <c r="Q2" s="69">
        <v>-0.88854974682946297</v>
      </c>
      <c r="R2" s="70">
        <v>0.88854974682946286</v>
      </c>
      <c r="S2" s="65" t="s">
        <v>160</v>
      </c>
    </row>
    <row r="3" spans="1:19" x14ac:dyDescent="0.2">
      <c r="A3" s="64" t="s">
        <v>150</v>
      </c>
      <c r="B3" s="64" t="s">
        <v>13</v>
      </c>
      <c r="C3" s="64" t="s">
        <v>14</v>
      </c>
      <c r="D3" s="66">
        <v>1.31681</v>
      </c>
      <c r="E3" s="66">
        <v>1.8641099999999999</v>
      </c>
      <c r="F3" s="66">
        <v>0.90560399999999996</v>
      </c>
      <c r="G3" s="66">
        <v>9.0803899999999995</v>
      </c>
      <c r="H3" s="66">
        <v>17.870100000000001</v>
      </c>
      <c r="I3" s="66">
        <v>17.3263</v>
      </c>
      <c r="J3" s="67">
        <f>LOG(AVERAGE(D3:F3)/AVERAGE(G3:I3),2)</f>
        <v>-3.4376045201678811</v>
      </c>
      <c r="K3" s="71">
        <v>-0.84536380713630055</v>
      </c>
      <c r="L3" s="72">
        <v>-0.77675685438266429</v>
      </c>
      <c r="M3" s="72">
        <v>-0.89691065642190593</v>
      </c>
      <c r="N3" s="72">
        <v>0.12784205118468603</v>
      </c>
      <c r="O3" s="72">
        <v>1.2296787379892995</v>
      </c>
      <c r="P3" s="73">
        <v>1.161510528766885</v>
      </c>
      <c r="Q3" s="72">
        <v>-0.83967710598029022</v>
      </c>
      <c r="R3" s="73">
        <v>0.83967710598029022</v>
      </c>
      <c r="S3" s="65"/>
    </row>
    <row r="4" spans="1:19" ht="16" thickBot="1" x14ac:dyDescent="0.25">
      <c r="A4" s="63" t="s">
        <v>89</v>
      </c>
      <c r="B4" s="63" t="s">
        <v>10</v>
      </c>
      <c r="C4" s="63" t="s">
        <v>11</v>
      </c>
      <c r="D4" s="74">
        <v>20.634399999999999</v>
      </c>
      <c r="E4" s="74">
        <v>25.458100000000002</v>
      </c>
      <c r="F4" s="74">
        <v>20.705200000000001</v>
      </c>
      <c r="G4" s="74">
        <v>44.44</v>
      </c>
      <c r="H4" s="74">
        <v>56.197899999999997</v>
      </c>
      <c r="I4" s="74">
        <v>56.804299999999998</v>
      </c>
      <c r="J4" s="67">
        <f>LOG(AVERAGE(D4:F4)/AVERAGE(G4:I4),2)</f>
        <v>-1.2369519519343841</v>
      </c>
      <c r="K4" s="71">
        <v>-0.97232032255700573</v>
      </c>
      <c r="L4" s="72">
        <v>-0.69212408086962651</v>
      </c>
      <c r="M4" s="72">
        <v>-0.96820773389861758</v>
      </c>
      <c r="N4" s="72">
        <v>0.41048533515658953</v>
      </c>
      <c r="O4" s="72">
        <v>1.0934712982421946</v>
      </c>
      <c r="P4" s="73">
        <v>1.1286955039264674</v>
      </c>
      <c r="Q4" s="72">
        <v>-0.87755071244174987</v>
      </c>
      <c r="R4" s="73">
        <v>0.87755071244175065</v>
      </c>
      <c r="S4" s="65" t="s">
        <v>159</v>
      </c>
    </row>
    <row r="5" spans="1:19" x14ac:dyDescent="0.2">
      <c r="A5" s="64" t="s">
        <v>123</v>
      </c>
      <c r="B5" s="64" t="s">
        <v>32</v>
      </c>
      <c r="C5" s="64" t="s">
        <v>33</v>
      </c>
      <c r="D5" s="66">
        <v>1.1234</v>
      </c>
      <c r="E5" s="66">
        <v>0.82732399999999995</v>
      </c>
      <c r="F5" s="66">
        <v>0.47421600000000003</v>
      </c>
      <c r="G5" s="66">
        <v>30.578499999999998</v>
      </c>
      <c r="H5" s="66">
        <v>27.6111</v>
      </c>
      <c r="I5" s="66">
        <v>27.7056</v>
      </c>
      <c r="J5" s="67">
        <f>LOG(AVERAGE(D5:F5)/AVERAGE(G5:I5),2)</f>
        <v>-5.1465565564341427</v>
      </c>
      <c r="K5" s="68">
        <v>-0.88993710043574081</v>
      </c>
      <c r="L5" s="69">
        <v>-0.9093161043611232</v>
      </c>
      <c r="M5" s="69">
        <v>-0.9324280125133676</v>
      </c>
      <c r="N5" s="69">
        <v>1.0379817397354676</v>
      </c>
      <c r="O5" s="69">
        <v>0.84375709387366304</v>
      </c>
      <c r="P5" s="70">
        <v>0.84994238370110142</v>
      </c>
      <c r="Q5" s="69">
        <v>-0.91056040577007724</v>
      </c>
      <c r="R5" s="70">
        <v>0.91056040577007735</v>
      </c>
      <c r="S5" s="65" t="s">
        <v>161</v>
      </c>
    </row>
    <row r="6" spans="1:19" x14ac:dyDescent="0.2">
      <c r="A6" s="63" t="s">
        <v>31</v>
      </c>
      <c r="B6" s="63" t="s">
        <v>32</v>
      </c>
      <c r="C6" s="63" t="s">
        <v>33</v>
      </c>
      <c r="D6" s="74">
        <v>40.738199999999999</v>
      </c>
      <c r="E6" s="74">
        <v>42.628900000000002</v>
      </c>
      <c r="F6" s="74">
        <v>31.886500000000002</v>
      </c>
      <c r="G6" s="74">
        <v>107.999</v>
      </c>
      <c r="H6" s="74">
        <v>103.53100000000001</v>
      </c>
      <c r="I6" s="74">
        <v>114.812</v>
      </c>
      <c r="J6" s="67">
        <f>LOG(AVERAGE(D6:F6)/AVERAGE(G6:I6),2)</f>
        <v>-1.5015728586668657</v>
      </c>
      <c r="K6" s="71">
        <v>-0.84527950791013018</v>
      </c>
      <c r="L6" s="72">
        <v>-0.79664536033917432</v>
      </c>
      <c r="M6" s="72">
        <v>-1.0729702489339994</v>
      </c>
      <c r="N6" s="72">
        <v>0.88485836321725297</v>
      </c>
      <c r="O6" s="72">
        <v>0.76992877557932526</v>
      </c>
      <c r="P6" s="73">
        <v>1.0601079783867255</v>
      </c>
      <c r="Q6" s="72">
        <v>-0.90496503906110126</v>
      </c>
      <c r="R6" s="73">
        <v>0.90496503906110126</v>
      </c>
      <c r="S6" s="65" t="s">
        <v>162</v>
      </c>
    </row>
    <row r="7" spans="1:19" x14ac:dyDescent="0.2">
      <c r="A7" s="63" t="s">
        <v>137</v>
      </c>
      <c r="B7" s="63" t="s">
        <v>43</v>
      </c>
      <c r="C7" s="63" t="s">
        <v>44</v>
      </c>
      <c r="D7" s="74">
        <v>56.096499999999999</v>
      </c>
      <c r="E7" s="74">
        <v>48.653700000000001</v>
      </c>
      <c r="F7" s="74">
        <v>47.191000000000003</v>
      </c>
      <c r="G7" s="74">
        <v>144.86600000000001</v>
      </c>
      <c r="H7" s="74">
        <v>176.375</v>
      </c>
      <c r="I7" s="74">
        <v>153.083</v>
      </c>
      <c r="J7" s="67">
        <f>LOG(AVERAGE(D7:F7)/AVERAGE(G7:I7),2)</f>
        <v>-1.6423597477103409</v>
      </c>
      <c r="K7" s="71">
        <v>-0.80689068198913183</v>
      </c>
      <c r="L7" s="72">
        <v>-0.93127753855134376</v>
      </c>
      <c r="M7" s="72">
        <v>-0.95572272787438717</v>
      </c>
      <c r="N7" s="72">
        <v>0.67665839411116346</v>
      </c>
      <c r="O7" s="72">
        <v>1.2032485837466145</v>
      </c>
      <c r="P7" s="73">
        <v>0.8139839705570836</v>
      </c>
      <c r="Q7" s="72">
        <v>-0.89796364947162088</v>
      </c>
      <c r="R7" s="73">
        <v>0.89796364947162044</v>
      </c>
      <c r="S7" s="65" t="s">
        <v>163</v>
      </c>
    </row>
    <row r="8" spans="1:19" x14ac:dyDescent="0.2">
      <c r="A8" s="63" t="s">
        <v>112</v>
      </c>
      <c r="B8" s="63" t="s">
        <v>43</v>
      </c>
      <c r="C8" s="63" t="s">
        <v>44</v>
      </c>
      <c r="D8" s="74">
        <v>116.699</v>
      </c>
      <c r="E8" s="74">
        <v>126.247</v>
      </c>
      <c r="F8" s="74">
        <v>104.76300000000001</v>
      </c>
      <c r="G8" s="74">
        <v>185.827</v>
      </c>
      <c r="H8" s="74">
        <v>278.22500000000002</v>
      </c>
      <c r="I8" s="74">
        <v>279.32900000000001</v>
      </c>
      <c r="J8" s="67">
        <f>LOG(AVERAGE(D8:F8)/AVERAGE(G8:I8),2)</f>
        <v>-1.0962214051204873</v>
      </c>
      <c r="K8" s="71">
        <v>-0.81328895248935862</v>
      </c>
      <c r="L8" s="72">
        <v>-0.69409689754325954</v>
      </c>
      <c r="M8" s="72">
        <v>-0.96229150462976898</v>
      </c>
      <c r="N8" s="72">
        <v>4.9667517380136493E-2</v>
      </c>
      <c r="O8" s="72">
        <v>1.2031140499429422</v>
      </c>
      <c r="P8" s="73">
        <v>1.2168957873393069</v>
      </c>
      <c r="Q8" s="72">
        <v>-0.82322578488746245</v>
      </c>
      <c r="R8" s="73">
        <v>0.8232257848874619</v>
      </c>
      <c r="S8" s="65" t="s">
        <v>164</v>
      </c>
    </row>
    <row r="9" spans="1:19" x14ac:dyDescent="0.2">
      <c r="A9" s="64" t="s">
        <v>64</v>
      </c>
      <c r="B9" s="64" t="s">
        <v>17</v>
      </c>
      <c r="C9" s="64" t="s">
        <v>18</v>
      </c>
      <c r="D9" s="66">
        <v>5.9422800000000002</v>
      </c>
      <c r="E9" s="66">
        <v>5.1302000000000003</v>
      </c>
      <c r="F9" s="66">
        <v>4.9083300000000003</v>
      </c>
      <c r="G9" s="66">
        <v>24.486000000000001</v>
      </c>
      <c r="H9" s="66">
        <v>26.1751</v>
      </c>
      <c r="I9" s="66">
        <v>28.6815</v>
      </c>
      <c r="J9" s="67">
        <f>LOG(AVERAGE(D9:F9)/AVERAGE(G9:I9),2)</f>
        <v>-2.3117551400789886</v>
      </c>
      <c r="K9" s="71">
        <v>-0.8536367028213665</v>
      </c>
      <c r="L9" s="72">
        <v>-0.92334252789821947</v>
      </c>
      <c r="M9" s="72">
        <v>-0.94238699569671391</v>
      </c>
      <c r="N9" s="72">
        <v>0.73808492878406895</v>
      </c>
      <c r="O9" s="72">
        <v>0.88307077886942076</v>
      </c>
      <c r="P9" s="73">
        <v>1.0982105187628111</v>
      </c>
      <c r="Q9" s="72">
        <v>-0.90645540880543329</v>
      </c>
      <c r="R9" s="73">
        <v>0.90645540880543363</v>
      </c>
      <c r="S9" s="65" t="s">
        <v>165</v>
      </c>
    </row>
    <row r="10" spans="1:19" x14ac:dyDescent="0.2">
      <c r="A10" s="63" t="s">
        <v>28</v>
      </c>
      <c r="B10" s="63" t="s">
        <v>17</v>
      </c>
      <c r="C10" s="63" t="s">
        <v>18</v>
      </c>
      <c r="D10" s="74">
        <v>3.7308699999999999</v>
      </c>
      <c r="E10" s="74">
        <v>4.4596600000000004</v>
      </c>
      <c r="F10" s="74">
        <v>3.1288200000000002</v>
      </c>
      <c r="G10" s="74">
        <v>10.8909</v>
      </c>
      <c r="H10" s="74">
        <v>11.738899999999999</v>
      </c>
      <c r="I10" s="74">
        <v>11.7765</v>
      </c>
      <c r="J10" s="67">
        <f>LOG(AVERAGE(D10:F10)/AVERAGE(G10:I10),2)</f>
        <v>-1.6038816397066431</v>
      </c>
      <c r="K10" s="71">
        <v>-0.91575780270073037</v>
      </c>
      <c r="L10" s="72">
        <v>-0.74419409225573885</v>
      </c>
      <c r="M10" s="72">
        <v>-1.0574857790360355</v>
      </c>
      <c r="N10" s="72">
        <v>0.76977755549223614</v>
      </c>
      <c r="O10" s="72">
        <v>0.96940437042843519</v>
      </c>
      <c r="P10" s="73">
        <v>0.97825574807183302</v>
      </c>
      <c r="Q10" s="72">
        <v>-0.9058125579975016</v>
      </c>
      <c r="R10" s="73">
        <v>0.90581255799750149</v>
      </c>
      <c r="S10" s="65" t="s">
        <v>166</v>
      </c>
    </row>
    <row r="11" spans="1:19" x14ac:dyDescent="0.2">
      <c r="A11" s="63" t="s">
        <v>34</v>
      </c>
      <c r="B11" s="63" t="s">
        <v>17</v>
      </c>
      <c r="C11" s="63" t="s">
        <v>18</v>
      </c>
      <c r="D11" s="74">
        <v>5.2605599999999999</v>
      </c>
      <c r="E11" s="74">
        <v>4.3983999999999996</v>
      </c>
      <c r="F11" s="74">
        <v>3.81481</v>
      </c>
      <c r="G11" s="74">
        <v>18.797699999999999</v>
      </c>
      <c r="H11" s="74">
        <v>10.0039</v>
      </c>
      <c r="I11" s="74">
        <v>21.1585</v>
      </c>
      <c r="J11" s="67">
        <f>LOG(AVERAGE(D11:F11)/AVERAGE(G11:I11),2)</f>
        <v>-1.8906227870935837</v>
      </c>
      <c r="K11" s="71">
        <v>-0.69502305266174047</v>
      </c>
      <c r="L11" s="72">
        <v>-0.80783349876056598</v>
      </c>
      <c r="M11" s="72">
        <v>-0.88419409103904512</v>
      </c>
      <c r="N11" s="72">
        <v>1.0762616303463484</v>
      </c>
      <c r="O11" s="72">
        <v>-7.4374563520046719E-2</v>
      </c>
      <c r="P11" s="73">
        <v>1.3851635756350502</v>
      </c>
      <c r="Q11" s="72">
        <v>-0.79568354748711723</v>
      </c>
      <c r="R11" s="73">
        <v>0.79568354748711734</v>
      </c>
      <c r="S11" s="65" t="s">
        <v>167</v>
      </c>
    </row>
    <row r="12" spans="1:19" ht="16" thickBot="1" x14ac:dyDescent="0.25">
      <c r="A12" s="63" t="s">
        <v>119</v>
      </c>
      <c r="B12" s="63" t="s">
        <v>23</v>
      </c>
      <c r="C12" s="63" t="s">
        <v>24</v>
      </c>
      <c r="D12" s="74">
        <v>25.660699999999999</v>
      </c>
      <c r="E12" s="74">
        <v>23.876999999999999</v>
      </c>
      <c r="F12" s="74">
        <v>23.947099999999999</v>
      </c>
      <c r="G12" s="74">
        <v>9.2636099999999999</v>
      </c>
      <c r="H12" s="74">
        <v>9.2081999999999997</v>
      </c>
      <c r="I12" s="74">
        <v>8.3556899999999992</v>
      </c>
      <c r="J12" s="67">
        <f>LOG(AVERAGE(D12:F12)/AVERAGE(G12:I12),2)</f>
        <v>1.4537332467801642</v>
      </c>
      <c r="K12" s="75">
        <v>1.04604090974651</v>
      </c>
      <c r="L12" s="76">
        <v>0.83738214790789656</v>
      </c>
      <c r="M12" s="76">
        <v>0.84558250626686216</v>
      </c>
      <c r="N12" s="76">
        <v>-0.87210479701825405</v>
      </c>
      <c r="O12" s="76">
        <v>-0.8785867065285291</v>
      </c>
      <c r="P12" s="77">
        <v>-0.97831406037448776</v>
      </c>
      <c r="Q12" s="76">
        <v>0.90966852130708953</v>
      </c>
      <c r="R12" s="77">
        <v>-0.90966852130709031</v>
      </c>
      <c r="S12" s="65"/>
    </row>
  </sheetData>
  <conditionalFormatting sqref="K2:P12">
    <cfRule type="colorScale" priority="175">
      <colorScale>
        <cfvo type="num" val="-2"/>
        <cfvo type="num" val="0"/>
        <cfvo type="num" val="2"/>
        <color rgb="FF00B0F0"/>
        <color theme="0"/>
        <color rgb="FFFF0000"/>
      </colorScale>
    </cfRule>
    <cfRule type="colorScale" priority="176">
      <colorScale>
        <cfvo type="num" val="-2"/>
        <cfvo type="num" val="0"/>
        <cfvo type="num" val="2"/>
        <color rgb="FF00B050"/>
        <color theme="0"/>
        <color rgb="FFFF0000"/>
      </colorScale>
    </cfRule>
    <cfRule type="colorScale" priority="17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2:R12">
    <cfRule type="colorScale" priority="181">
      <colorScale>
        <cfvo type="min"/>
        <cfvo type="max"/>
        <color rgb="FFFCFCFF"/>
        <color rgb="FFF8696B"/>
      </colorScale>
    </cfRule>
  </conditionalFormatting>
  <conditionalFormatting sqref="J2:J12">
    <cfRule type="colorScale" priority="183">
      <colorScale>
        <cfvo type="min"/>
        <cfvo type="num" val="0"/>
        <cfvo type="max"/>
        <color rgb="FF00FDFF"/>
        <color theme="0"/>
        <color rgb="FFFF7E79"/>
      </colorScale>
    </cfRule>
    <cfRule type="colorScale" priority="184">
      <colorScale>
        <cfvo type="num" val="-2"/>
        <cfvo type="num" val="0"/>
        <cfvo type="num" val="2"/>
        <color rgb="FF00FDFF"/>
        <color theme="0"/>
        <color rgb="FFFF9300"/>
      </colorScale>
    </cfRule>
    <cfRule type="colorScale" priority="185">
      <colorScale>
        <cfvo type="num" val="0"/>
        <cfvo type="max"/>
        <color theme="0"/>
        <color rgb="FFFFC000"/>
      </colorScale>
    </cfRule>
    <cfRule type="colorScale" priority="186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转录组数据</vt:lpstr>
      <vt:lpstr>候选基因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19636</cp:lastModifiedBy>
  <dcterms:created xsi:type="dcterms:W3CDTF">2024-03-07T08:19:49Z</dcterms:created>
  <dcterms:modified xsi:type="dcterms:W3CDTF">2024-03-11T01:00:14Z</dcterms:modified>
</cp:coreProperties>
</file>